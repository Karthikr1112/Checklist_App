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llensamuel/Documents/"/>
    </mc:Choice>
  </mc:AlternateContent>
  <xr:revisionPtr revIDLastSave="0" documentId="8_{BAB9895F-CC93-0D4B-B183-1D45D2971BD2}" xr6:coauthVersionLast="47" xr6:coauthVersionMax="47" xr10:uidLastSave="{00000000-0000-0000-0000-000000000000}"/>
  <bookViews>
    <workbookView xWindow="0" yWindow="600" windowWidth="34200" windowHeight="19840" activeTab="3" xr2:uid="{00000000-000D-0000-FFFF-FFFF00000000}"/>
  </bookViews>
  <sheets>
    <sheet name="App Checklist" sheetId="1" r:id="rId1"/>
    <sheet name="Dashboard" sheetId="2" r:id="rId2"/>
    <sheet name="Lists" sheetId="3" state="hidden" r:id="rId3"/>
    <sheet name="User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D29" i="2"/>
  <c r="C29" i="2"/>
  <c r="F29" i="2" s="1"/>
  <c r="B29" i="2"/>
  <c r="E28" i="2"/>
  <c r="D28" i="2"/>
  <c r="F28" i="2" s="1"/>
  <c r="C28" i="2"/>
  <c r="B28" i="2"/>
  <c r="E27" i="2"/>
  <c r="D27" i="2"/>
  <c r="C27" i="2"/>
  <c r="F27" i="2" s="1"/>
  <c r="B27" i="2"/>
  <c r="F26" i="2"/>
  <c r="E26" i="2"/>
  <c r="D26" i="2"/>
  <c r="C26" i="2"/>
  <c r="B26" i="2"/>
  <c r="E25" i="2"/>
  <c r="D25" i="2"/>
  <c r="C25" i="2"/>
  <c r="F25" i="2" s="1"/>
  <c r="B25" i="2"/>
  <c r="E24" i="2"/>
  <c r="D24" i="2"/>
  <c r="C24" i="2"/>
  <c r="F24" i="2" s="1"/>
  <c r="B24" i="2"/>
  <c r="F23" i="2"/>
  <c r="E23" i="2"/>
  <c r="D23" i="2"/>
  <c r="C23" i="2"/>
  <c r="B23" i="2"/>
  <c r="E22" i="2"/>
  <c r="D22" i="2"/>
  <c r="C22" i="2"/>
  <c r="F22" i="2" s="1"/>
  <c r="B22" i="2"/>
  <c r="E21" i="2"/>
  <c r="D21" i="2"/>
  <c r="C21" i="2"/>
  <c r="F21" i="2" s="1"/>
  <c r="B21" i="2"/>
  <c r="E20" i="2"/>
  <c r="D20" i="2"/>
  <c r="F20" i="2" s="1"/>
  <c r="C20" i="2"/>
  <c r="B20" i="2"/>
  <c r="E19" i="2"/>
  <c r="D19" i="2"/>
  <c r="C19" i="2"/>
  <c r="F19" i="2" s="1"/>
  <c r="B19" i="2"/>
  <c r="F18" i="2"/>
  <c r="E18" i="2"/>
  <c r="D18" i="2"/>
  <c r="C18" i="2"/>
  <c r="B18" i="2"/>
  <c r="E17" i="2"/>
  <c r="D17" i="2"/>
  <c r="C17" i="2"/>
  <c r="F17" i="2" s="1"/>
  <c r="B17" i="2"/>
  <c r="E16" i="2"/>
  <c r="D16" i="2"/>
  <c r="C16" i="2"/>
  <c r="F16" i="2" s="1"/>
  <c r="B16" i="2"/>
  <c r="F15" i="2"/>
  <c r="E15" i="2"/>
  <c r="D15" i="2"/>
  <c r="C15" i="2"/>
  <c r="B15" i="2"/>
  <c r="E14" i="2"/>
  <c r="D14" i="2"/>
  <c r="C14" i="2"/>
  <c r="F14" i="2" s="1"/>
  <c r="B14" i="2"/>
  <c r="E13" i="2"/>
  <c r="D13" i="2"/>
  <c r="C13" i="2"/>
  <c r="F13" i="2" s="1"/>
  <c r="B13" i="2"/>
  <c r="I12" i="2"/>
  <c r="F12" i="2"/>
  <c r="E12" i="2"/>
  <c r="D12" i="2"/>
  <c r="C12" i="2"/>
  <c r="B12" i="2"/>
  <c r="I11" i="2"/>
  <c r="E11" i="2"/>
  <c r="D11" i="2"/>
  <c r="C11" i="2"/>
  <c r="F11" i="2" s="1"/>
  <c r="B11" i="2"/>
  <c r="I10" i="2"/>
  <c r="E10" i="2"/>
  <c r="D10" i="2"/>
  <c r="C10" i="2"/>
  <c r="F10" i="2" s="1"/>
  <c r="B10" i="2"/>
  <c r="E4" i="2"/>
  <c r="B4" i="2"/>
  <c r="E3" i="2"/>
  <c r="B3" i="2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K6" i="1"/>
  <c r="H6" i="2" s="1"/>
  <c r="H6" i="1"/>
  <c r="F6" i="2" s="1"/>
  <c r="E6" i="1"/>
  <c r="D6" i="2" s="1"/>
  <c r="B6" i="1"/>
  <c r="B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Created from the uploaded Cluster Manager Checklist workbook.</t>
        </r>
      </text>
    </comment>
  </commentList>
</comments>
</file>

<file path=xl/sharedStrings.xml><?xml version="1.0" encoding="utf-8"?>
<sst xmlns="http://schemas.openxmlformats.org/spreadsheetml/2006/main" count="304" uniqueCount="167">
  <si>
    <t>Cluster Manager Store Visit Checklist - Computer Application Format</t>
  </si>
  <si>
    <t>Store Name</t>
  </si>
  <si>
    <t>Store Code</t>
  </si>
  <si>
    <t>Visit Date</t>
  </si>
  <si>
    <t>Audit Type</t>
  </si>
  <si>
    <t>Full Visit</t>
  </si>
  <si>
    <t>Cluster Manager</t>
  </si>
  <si>
    <t>Store Manager</t>
  </si>
  <si>
    <t>City / Region</t>
  </si>
  <si>
    <t>Visit Status</t>
  </si>
  <si>
    <t>Draft</t>
  </si>
  <si>
    <t>Total Questions</t>
  </si>
  <si>
    <t>Answered</t>
  </si>
  <si>
    <t>Open Actions</t>
  </si>
  <si>
    <t>Compliance %</t>
  </si>
  <si>
    <t>ID</t>
  </si>
  <si>
    <t>Section</t>
  </si>
  <si>
    <t>Checklist Question</t>
  </si>
  <si>
    <t>Response</t>
  </si>
  <si>
    <t>Evidence / Measurement Needed</t>
  </si>
  <si>
    <t>Observation / Findings</t>
  </si>
  <si>
    <t>Photo / Attachment Ref.</t>
  </si>
  <si>
    <t>Action Required</t>
  </si>
  <si>
    <t>Owner</t>
  </si>
  <si>
    <t>Due Date</t>
  </si>
  <si>
    <t>Action Status</t>
  </si>
  <si>
    <t>Score</t>
  </si>
  <si>
    <t>CM-001</t>
  </si>
  <si>
    <t>Is Target vs Achievement reviewed for the store and all departments?</t>
  </si>
  <si>
    <t>MTD Ach % to be mentioned in a text box</t>
  </si>
  <si>
    <t>1.
2.
3.</t>
  </si>
  <si>
    <t>Open</t>
  </si>
  <si>
    <t>CM-002</t>
  </si>
  <si>
    <t>Sales</t>
  </si>
  <si>
    <t>Is gap analysis conducted for underperformance?</t>
  </si>
  <si>
    <t>CM-003</t>
  </si>
  <si>
    <t>Is a clear action plan defined for improvement?(Dept by dept)</t>
  </si>
  <si>
    <t>CM-004</t>
  </si>
  <si>
    <t>Margin</t>
  </si>
  <si>
    <t>Is FTD/MTD margin reviewed?</t>
  </si>
  <si>
    <t xml:space="preserve">Target Margin % - 
Actual Margin % - </t>
  </si>
  <si>
    <t>CM-005</t>
  </si>
  <si>
    <t>Are margin improvement actions identified and tracked?</t>
  </si>
  <si>
    <t>CM-006</t>
  </si>
  <si>
    <t>Inventory</t>
  </si>
  <si>
    <t>Is GRN closure completed as per P2P process?</t>
  </si>
  <si>
    <t xml:space="preserve">Pending Supplier GRN post 24 Hrs - 
Pending WH GRNs post 24 HRS - </t>
  </si>
  <si>
    <t>CM-007</t>
  </si>
  <si>
    <t>Are dump &amp; shrink monitored regularly?</t>
  </si>
  <si>
    <t xml:space="preserve">Dump % - 
Shrink % - </t>
  </si>
  <si>
    <t>CM-008</t>
  </si>
  <si>
    <t>Is SIT pending reviewed?</t>
  </si>
  <si>
    <t>CM-009</t>
  </si>
  <si>
    <t>Are expiry and non-moving items tracked?</t>
  </si>
  <si>
    <t xml:space="preserve">Total Expiry Qty - 
Total Expiry Value - </t>
  </si>
  <si>
    <t>CM-010</t>
  </si>
  <si>
    <t>Is Shrinkage RCA and action plan implemented?</t>
  </si>
  <si>
    <t>CM-011</t>
  </si>
  <si>
    <t>Is perpetual inventory/HV count conducted?</t>
  </si>
  <si>
    <t>Observations</t>
  </si>
  <si>
    <t>CM-012</t>
  </si>
  <si>
    <t>Are RTV processes followed?</t>
  </si>
  <si>
    <t>CM-013</t>
  </si>
  <si>
    <t>Is negative stock reviewed and corrected?</t>
  </si>
  <si>
    <t xml:space="preserve">Total Negative OH Items - 
Total Negative Stock Value - </t>
  </si>
  <si>
    <t>CM-014</t>
  </si>
  <si>
    <t>Manpower</t>
  </si>
  <si>
    <t>Is manpower as per plan vs actual reviewed?</t>
  </si>
  <si>
    <t>Mention key manpower gaps</t>
  </si>
  <si>
    <t>CM-015</t>
  </si>
  <si>
    <t>Is attrition analyzed with reasons?</t>
  </si>
  <si>
    <t>CM-016</t>
  </si>
  <si>
    <t>Is HR scorecard reviewed?</t>
  </si>
  <si>
    <t>CM-017</t>
  </si>
  <si>
    <t>Housekeeping</t>
  </si>
  <si>
    <t>Is store cleanliness maintained?</t>
  </si>
  <si>
    <t>Front of Store - Yes / No
F&amp;V section - Yes / No
Lose staples section - Yes / No
Washrooms - Yes / No
back Room - Yes /No</t>
  </si>
  <si>
    <t>CM-018</t>
  </si>
  <si>
    <t>Is housekeeping manpower adequate?</t>
  </si>
  <si>
    <t>CM-019</t>
  </si>
  <si>
    <t>Security</t>
  </si>
  <si>
    <t>Are security duties and posts reviewed?</t>
  </si>
  <si>
    <t>CM-020</t>
  </si>
  <si>
    <t>Cash</t>
  </si>
  <si>
    <t>Is cash shortage/excess monitored and resolved?</t>
  </si>
  <si>
    <t>CM-021</t>
  </si>
  <si>
    <t>Store Display</t>
  </si>
  <si>
    <t>Is the merchandise display neat and clean?</t>
  </si>
  <si>
    <t>CM-022</t>
  </si>
  <si>
    <t>Is proper signage available?</t>
  </si>
  <si>
    <t>CM-023</t>
  </si>
  <si>
    <t>Is price/size communication clear?</t>
  </si>
  <si>
    <t>CM-024</t>
  </si>
  <si>
    <t>Are there any stocks in the floor without security tags? (Check 10 samples)</t>
  </si>
  <si>
    <t>CM-025</t>
  </si>
  <si>
    <t>SOP</t>
  </si>
  <si>
    <t>Is billing SOP followed correctly? (Observe 5 customer billings and note the feedback)</t>
  </si>
  <si>
    <t>CM-026</t>
  </si>
  <si>
    <t>Parking</t>
  </si>
  <si>
    <t>Is parking area clean and well managed?</t>
  </si>
  <si>
    <t>CM-027</t>
  </si>
  <si>
    <t>Compliance</t>
  </si>
  <si>
    <t>Are all statutory licenses valid and available?</t>
  </si>
  <si>
    <t>CM-028</t>
  </si>
  <si>
    <t>Are compliance issues identified and addressed?</t>
  </si>
  <si>
    <t>CM-029</t>
  </si>
  <si>
    <t>Maintenance</t>
  </si>
  <si>
    <t>Are maintenance issues identified and resolved?</t>
  </si>
  <si>
    <t>CM-030</t>
  </si>
  <si>
    <t>Fire Safety</t>
  </si>
  <si>
    <t>Are fire exits clear?</t>
  </si>
  <si>
    <t>CM-031</t>
  </si>
  <si>
    <t>Is fire alarm system functional?</t>
  </si>
  <si>
    <t>CM-032</t>
  </si>
  <si>
    <t>Is water pressure adequate?</t>
  </si>
  <si>
    <t>CM-033</t>
  </si>
  <si>
    <t>Are staircases clear?</t>
  </si>
  <si>
    <t>CM-034</t>
  </si>
  <si>
    <t>Backroom</t>
  </si>
  <si>
    <t>Is backroom organized and disciplined?</t>
  </si>
  <si>
    <t>CM-035</t>
  </si>
  <si>
    <t>Returns</t>
  </si>
  <si>
    <t>Are returns being handed over to the respective department properly after tagging &amp; barcoding?</t>
  </si>
  <si>
    <t>CM-036</t>
  </si>
  <si>
    <t>Are bills verified for all returns in the exchange register?</t>
  </si>
  <si>
    <t>CM-037</t>
  </si>
  <si>
    <t>Finance</t>
  </si>
  <si>
    <t>Is petty cash audited monthly?</t>
  </si>
  <si>
    <t>Share the results of the last petty cash audit</t>
  </si>
  <si>
    <t>CM-038</t>
  </si>
  <si>
    <t>Customer</t>
  </si>
  <si>
    <t>Is customer feedback reviewed and closed? (Feedback Register)</t>
  </si>
  <si>
    <t>CM-039</t>
  </si>
  <si>
    <t>CCTV</t>
  </si>
  <si>
    <t>Is CCTV footage checked regularly?</t>
  </si>
  <si>
    <t>CM-040</t>
  </si>
  <si>
    <t>Staff</t>
  </si>
  <si>
    <t>Is staff dining area clean?</t>
  </si>
  <si>
    <t>Cluster Manager Visit Dashboard</t>
  </si>
  <si>
    <t>Questions</t>
  </si>
  <si>
    <t>Yes</t>
  </si>
  <si>
    <t>No</t>
  </si>
  <si>
    <t>NA</t>
  </si>
  <si>
    <t>Status</t>
  </si>
  <si>
    <t>Count</t>
  </si>
  <si>
    <t>In Progress</t>
  </si>
  <si>
    <t>Submitted</t>
  </si>
  <si>
    <t>Follow-up</t>
  </si>
  <si>
    <t>Closed</t>
  </si>
  <si>
    <t>Approved</t>
  </si>
  <si>
    <t>Surprise Audit</t>
  </si>
  <si>
    <t>Not Required</t>
  </si>
  <si>
    <t>Revisit Required</t>
  </si>
  <si>
    <t>Monthly Review</t>
  </si>
  <si>
    <t>How to Use This Computer-Based Checklist</t>
  </si>
  <si>
    <t>Step 1</t>
  </si>
  <si>
    <t>Fill visit details at the top of the App Checklist sheet.</t>
  </si>
  <si>
    <t>Step 2</t>
  </si>
  <si>
    <t>For each checklist question, select Yes, No, or NA from the Response dropdown.</t>
  </si>
  <si>
    <t>Step 3</t>
  </si>
  <si>
    <t>Enter observations, attach/photo reference numbers, and action plan details where required.</t>
  </si>
  <si>
    <t>Step 4</t>
  </si>
  <si>
    <t>Use Action Status to track Open, In Progress, Closed, or Not Required.</t>
  </si>
  <si>
    <t>Step 5</t>
  </si>
  <si>
    <t>Review the Dashboard sheet for compliance percentage, open actions, and section-wise scores.</t>
  </si>
  <si>
    <t>Scoring Logic</t>
  </si>
  <si>
    <t>Yes = 1, No = 0, NA is excluded from compliance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</si>
</sst>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AF4FB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 applyAlignment="1">
      <alignment horizontal="right"/>
    </xf>
    <xf numFmtId="0" fontId="0" fillId="4" borderId="1" xfId="0" applyFill="1" applyBorder="1" applyAlignment="1">
      <alignment horizontal="left"/>
    </xf>
    <xf numFmtId="165" fontId="0" fillId="4" borderId="1" xfId="0" applyNumberForma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6" fontId="4" fillId="5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165" fontId="0" fillId="4" borderId="2" xfId="0" applyNumberFormat="1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1" fontId="0" fillId="9" borderId="2" xfId="0" applyNumberFormat="1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2" fillId="3" borderId="0" xfId="0" applyFont="1" applyFill="1"/>
    <xf numFmtId="0" fontId="0" fillId="4" borderId="0" xfId="0" applyFill="1"/>
    <xf numFmtId="165" fontId="0" fillId="4" borderId="0" xfId="0" applyNumberFormat="1" applyFill="1"/>
    <xf numFmtId="0" fontId="5" fillId="5" borderId="0" xfId="0" applyFont="1" applyFill="1" applyAlignment="1">
      <alignment horizontal="center"/>
    </xf>
    <xf numFmtId="166" fontId="5" fillId="5" borderId="0" xfId="0" applyNumberFormat="1" applyFont="1" applyFill="1" applyAlignment="1">
      <alignment horizontal="center"/>
    </xf>
    <xf numFmtId="0" fontId="3" fillId="2" borderId="0" xfId="0" applyFont="1" applyFill="1"/>
    <xf numFmtId="0" fontId="0" fillId="6" borderId="2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166" fontId="0" fillId="6" borderId="2" xfId="0" applyNumberFormat="1" applyFill="1" applyBorder="1" applyAlignment="1">
      <alignment horizontal="center"/>
    </xf>
    <xf numFmtId="0" fontId="0" fillId="10" borderId="2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166" fontId="0" fillId="10" borderId="2" xfId="0" applyNumberFormat="1" applyFill="1" applyBorder="1" applyAlignment="1">
      <alignment horizontal="center"/>
    </xf>
    <xf numFmtId="0" fontId="0" fillId="6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Response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Dashboard!$H$10:$H$12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NA</c:v>
                </c:pt>
              </c:strCache>
            </c:strRef>
          </c:cat>
          <c:val>
            <c:numRef>
              <c:f>Dashboard!$I$10:$I$12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4-9448-B002-B6D2600CC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Compliance by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Dashboard!$F$9</c:f>
              <c:strCache>
                <c:ptCount val="1"/>
                <c:pt idx="0">
                  <c:v>Compliance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Dashboard!$A$10:$A$29</c:f>
              <c:strCache>
                <c:ptCount val="20"/>
                <c:pt idx="1">
                  <c:v>Sales</c:v>
                </c:pt>
                <c:pt idx="2">
                  <c:v>Margin</c:v>
                </c:pt>
                <c:pt idx="3">
                  <c:v>Inventory</c:v>
                </c:pt>
                <c:pt idx="4">
                  <c:v>Manpower</c:v>
                </c:pt>
                <c:pt idx="5">
                  <c:v>Housekeeping</c:v>
                </c:pt>
                <c:pt idx="6">
                  <c:v>Security</c:v>
                </c:pt>
                <c:pt idx="7">
                  <c:v>Cash</c:v>
                </c:pt>
                <c:pt idx="8">
                  <c:v>Store Display</c:v>
                </c:pt>
                <c:pt idx="9">
                  <c:v>SOP</c:v>
                </c:pt>
                <c:pt idx="10">
                  <c:v>Parking</c:v>
                </c:pt>
                <c:pt idx="11">
                  <c:v>Compliance</c:v>
                </c:pt>
                <c:pt idx="12">
                  <c:v>Maintenance</c:v>
                </c:pt>
                <c:pt idx="13">
                  <c:v>Fire Safety</c:v>
                </c:pt>
                <c:pt idx="14">
                  <c:v>Backroom</c:v>
                </c:pt>
                <c:pt idx="15">
                  <c:v>Returns</c:v>
                </c:pt>
                <c:pt idx="16">
                  <c:v>Finance</c:v>
                </c:pt>
                <c:pt idx="17">
                  <c:v>Customer</c:v>
                </c:pt>
                <c:pt idx="18">
                  <c:v>CCTV</c:v>
                </c:pt>
                <c:pt idx="19">
                  <c:v>Staff</c:v>
                </c:pt>
              </c:strCache>
            </c:strRef>
          </c:cat>
          <c:val>
            <c:numRef>
              <c:f>Dashboard!$F$10:$F$29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4-5A42-A5EB-83436F9E0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Compliance 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Table" displayName="ChecklistTable" ref="A9:L49">
  <autoFilter ref="A9:L49" xr:uid="{00000000-0009-0000-0100-000001000000}"/>
  <tableColumns count="12">
    <tableColumn id="1" xr3:uid="{00000000-0010-0000-0000-000001000000}" name="ID"/>
    <tableColumn id="2" xr3:uid="{00000000-0010-0000-0000-000002000000}" name="Section"/>
    <tableColumn id="3" xr3:uid="{00000000-0010-0000-0000-000003000000}" name="Checklist Question"/>
    <tableColumn id="4" xr3:uid="{00000000-0010-0000-0000-000004000000}" name="Response"/>
    <tableColumn id="5" xr3:uid="{00000000-0010-0000-0000-000005000000}" name="Evidence / Measurement Needed"/>
    <tableColumn id="6" xr3:uid="{00000000-0010-0000-0000-000006000000}" name="Observation / Findings"/>
    <tableColumn id="7" xr3:uid="{00000000-0010-0000-0000-000007000000}" name="Photo / Attachment Ref."/>
    <tableColumn id="8" xr3:uid="{00000000-0010-0000-0000-000008000000}" name="Action Required"/>
    <tableColumn id="9" xr3:uid="{00000000-0010-0000-0000-000009000000}" name="Owner"/>
    <tableColumn id="10" xr3:uid="{00000000-0010-0000-0000-00000A000000}" name="Due Date"/>
    <tableColumn id="11" xr3:uid="{00000000-0010-0000-0000-00000B000000}" name="Action Status"/>
    <tableColumn id="12" xr3:uid="{00000000-0010-0000-0000-00000C000000}" name="Scor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showGridLines="0" workbookViewId="0">
      <pane ySplit="9" topLeftCell="A10" activePane="bottomLeft" state="frozen"/>
      <selection pane="bottomLeft" sqref="A1:L1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55" customWidth="1"/>
    <col min="4" max="4" width="14" customWidth="1"/>
    <col min="5" max="5" width="34" customWidth="1"/>
    <col min="6" max="6" width="36" customWidth="1"/>
    <col min="7" max="7" width="24" customWidth="1"/>
    <col min="8" max="8" width="36" customWidth="1"/>
    <col min="9" max="9" width="18" customWidth="1"/>
    <col min="10" max="10" width="14" customWidth="1"/>
    <col min="11" max="11" width="18" customWidth="1"/>
    <col min="12" max="12" width="10" customWidth="1"/>
  </cols>
  <sheetData>
    <row r="1" spans="1:12" ht="28" customHeight="1" x14ac:dyDescent="0.2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x14ac:dyDescent="0.2">
      <c r="A3" s="1" t="s">
        <v>1</v>
      </c>
      <c r="B3" s="2"/>
      <c r="D3" s="1" t="s">
        <v>2</v>
      </c>
      <c r="E3" s="2"/>
      <c r="G3" s="1" t="s">
        <v>3</v>
      </c>
      <c r="H3" s="3">
        <v>46136.445485214797</v>
      </c>
      <c r="J3" s="1" t="s">
        <v>4</v>
      </c>
      <c r="K3" s="2" t="s">
        <v>5</v>
      </c>
    </row>
    <row r="4" spans="1:12" x14ac:dyDescent="0.2">
      <c r="A4" s="1" t="s">
        <v>6</v>
      </c>
      <c r="B4" s="2"/>
      <c r="D4" s="1" t="s">
        <v>7</v>
      </c>
      <c r="E4" s="2"/>
      <c r="G4" s="1" t="s">
        <v>8</v>
      </c>
      <c r="H4" s="2"/>
      <c r="J4" s="1" t="s">
        <v>9</v>
      </c>
      <c r="K4" s="2" t="s">
        <v>10</v>
      </c>
    </row>
    <row r="6" spans="1:12" ht="16" x14ac:dyDescent="0.2">
      <c r="A6" s="4" t="s">
        <v>11</v>
      </c>
      <c r="B6" s="5">
        <f>COUNTA(B10:B49)</f>
        <v>39</v>
      </c>
      <c r="D6" s="4" t="s">
        <v>12</v>
      </c>
      <c r="E6" s="5">
        <f>COUNTIF(D10:D49,"Yes")+COUNTIF(D10:D49,"No")+COUNTIF(D10:D49,"NA")</f>
        <v>0</v>
      </c>
      <c r="G6" s="4" t="s">
        <v>13</v>
      </c>
      <c r="H6" s="5">
        <f>COUNTIF(K10:K49,"Open")+COUNTIF(K10:K49,"In Progress")</f>
        <v>40</v>
      </c>
      <c r="J6" s="4" t="s">
        <v>14</v>
      </c>
      <c r="K6" s="6">
        <f>IFERROR(SUM(L10:L49)/(COUNTIF(D10:D49,"Yes")+COUNTIF(D10:D49,"No")),0)</f>
        <v>0</v>
      </c>
    </row>
    <row r="9" spans="1:12" ht="35" customHeight="1" x14ac:dyDescent="0.2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24</v>
      </c>
      <c r="K9" s="7" t="s">
        <v>25</v>
      </c>
      <c r="L9" s="7" t="s">
        <v>26</v>
      </c>
    </row>
    <row r="10" spans="1:12" ht="48" customHeight="1" x14ac:dyDescent="0.2">
      <c r="A10" s="8" t="s">
        <v>27</v>
      </c>
      <c r="B10" s="8"/>
      <c r="C10" s="8" t="s">
        <v>28</v>
      </c>
      <c r="D10" s="9"/>
      <c r="E10" s="8" t="s">
        <v>29</v>
      </c>
      <c r="F10" s="9"/>
      <c r="G10" s="9"/>
      <c r="H10" s="10" t="s">
        <v>30</v>
      </c>
      <c r="I10" s="9"/>
      <c r="J10" s="11"/>
      <c r="K10" s="12" t="s">
        <v>31</v>
      </c>
      <c r="L10" s="13" t="str">
        <f t="shared" ref="L10:L49" si="0">IF(D10="Yes",1,IF(D10="No",0,""))</f>
        <v/>
      </c>
    </row>
    <row r="11" spans="1:12" ht="48" customHeight="1" x14ac:dyDescent="0.2">
      <c r="A11" s="14" t="s">
        <v>32</v>
      </c>
      <c r="B11" s="14" t="s">
        <v>33</v>
      </c>
      <c r="C11" s="14" t="s">
        <v>34</v>
      </c>
      <c r="D11" s="9"/>
      <c r="E11" s="14"/>
      <c r="F11" s="9"/>
      <c r="G11" s="9"/>
      <c r="H11" s="10" t="s">
        <v>30</v>
      </c>
      <c r="I11" s="9"/>
      <c r="J11" s="11"/>
      <c r="K11" s="12" t="s">
        <v>31</v>
      </c>
      <c r="L11" s="13" t="str">
        <f t="shared" si="0"/>
        <v/>
      </c>
    </row>
    <row r="12" spans="1:12" ht="48" customHeight="1" x14ac:dyDescent="0.2">
      <c r="A12" s="8" t="s">
        <v>35</v>
      </c>
      <c r="B12" s="8" t="s">
        <v>33</v>
      </c>
      <c r="C12" s="8" t="s">
        <v>36</v>
      </c>
      <c r="D12" s="9"/>
      <c r="E12" s="8"/>
      <c r="F12" s="9"/>
      <c r="G12" s="9"/>
      <c r="H12" s="10" t="s">
        <v>30</v>
      </c>
      <c r="I12" s="9"/>
      <c r="J12" s="11"/>
      <c r="K12" s="12" t="s">
        <v>31</v>
      </c>
      <c r="L12" s="13" t="str">
        <f t="shared" si="0"/>
        <v/>
      </c>
    </row>
    <row r="13" spans="1:12" ht="48" customHeight="1" x14ac:dyDescent="0.2">
      <c r="A13" s="14" t="s">
        <v>37</v>
      </c>
      <c r="B13" s="14" t="s">
        <v>38</v>
      </c>
      <c r="C13" s="14" t="s">
        <v>39</v>
      </c>
      <c r="D13" s="9"/>
      <c r="E13" s="14" t="s">
        <v>40</v>
      </c>
      <c r="F13" s="9"/>
      <c r="G13" s="9"/>
      <c r="H13" s="10" t="s">
        <v>30</v>
      </c>
      <c r="I13" s="9"/>
      <c r="J13" s="11"/>
      <c r="K13" s="12" t="s">
        <v>31</v>
      </c>
      <c r="L13" s="13" t="str">
        <f t="shared" si="0"/>
        <v/>
      </c>
    </row>
    <row r="14" spans="1:12" ht="48" customHeight="1" x14ac:dyDescent="0.2">
      <c r="A14" s="8" t="s">
        <v>41</v>
      </c>
      <c r="B14" s="8" t="s">
        <v>38</v>
      </c>
      <c r="C14" s="8" t="s">
        <v>42</v>
      </c>
      <c r="D14" s="9"/>
      <c r="E14" s="8"/>
      <c r="F14" s="9"/>
      <c r="G14" s="9"/>
      <c r="H14" s="10" t="s">
        <v>30</v>
      </c>
      <c r="I14" s="9"/>
      <c r="J14" s="11"/>
      <c r="K14" s="12" t="s">
        <v>31</v>
      </c>
      <c r="L14" s="13" t="str">
        <f t="shared" si="0"/>
        <v/>
      </c>
    </row>
    <row r="15" spans="1:12" ht="48" customHeight="1" x14ac:dyDescent="0.2">
      <c r="A15" s="14" t="s">
        <v>43</v>
      </c>
      <c r="B15" s="14" t="s">
        <v>44</v>
      </c>
      <c r="C15" s="14" t="s">
        <v>45</v>
      </c>
      <c r="D15" s="9"/>
      <c r="E15" s="14" t="s">
        <v>46</v>
      </c>
      <c r="F15" s="9"/>
      <c r="G15" s="9"/>
      <c r="H15" s="10" t="s">
        <v>30</v>
      </c>
      <c r="I15" s="9"/>
      <c r="J15" s="11"/>
      <c r="K15" s="12" t="s">
        <v>31</v>
      </c>
      <c r="L15" s="13" t="str">
        <f t="shared" si="0"/>
        <v/>
      </c>
    </row>
    <row r="16" spans="1:12" ht="48" customHeight="1" x14ac:dyDescent="0.2">
      <c r="A16" s="8" t="s">
        <v>47</v>
      </c>
      <c r="B16" s="8" t="s">
        <v>44</v>
      </c>
      <c r="C16" s="8" t="s">
        <v>48</v>
      </c>
      <c r="D16" s="9"/>
      <c r="E16" s="8" t="s">
        <v>49</v>
      </c>
      <c r="F16" s="9"/>
      <c r="G16" s="9"/>
      <c r="H16" s="10" t="s">
        <v>30</v>
      </c>
      <c r="I16" s="9"/>
      <c r="J16" s="11"/>
      <c r="K16" s="12" t="s">
        <v>31</v>
      </c>
      <c r="L16" s="13" t="str">
        <f t="shared" si="0"/>
        <v/>
      </c>
    </row>
    <row r="17" spans="1:12" ht="48" customHeight="1" x14ac:dyDescent="0.2">
      <c r="A17" s="14" t="s">
        <v>50</v>
      </c>
      <c r="B17" s="14" t="s">
        <v>44</v>
      </c>
      <c r="C17" s="14" t="s">
        <v>51</v>
      </c>
      <c r="D17" s="9"/>
      <c r="E17" s="14"/>
      <c r="F17" s="9"/>
      <c r="G17" s="9"/>
      <c r="H17" s="10" t="s">
        <v>30</v>
      </c>
      <c r="I17" s="9"/>
      <c r="J17" s="11"/>
      <c r="K17" s="12" t="s">
        <v>31</v>
      </c>
      <c r="L17" s="13" t="str">
        <f t="shared" si="0"/>
        <v/>
      </c>
    </row>
    <row r="18" spans="1:12" ht="48" customHeight="1" x14ac:dyDescent="0.2">
      <c r="A18" s="8" t="s">
        <v>52</v>
      </c>
      <c r="B18" s="8" t="s">
        <v>44</v>
      </c>
      <c r="C18" s="8" t="s">
        <v>53</v>
      </c>
      <c r="D18" s="9"/>
      <c r="E18" s="8" t="s">
        <v>54</v>
      </c>
      <c r="F18" s="9"/>
      <c r="G18" s="9"/>
      <c r="H18" s="10" t="s">
        <v>30</v>
      </c>
      <c r="I18" s="9"/>
      <c r="J18" s="11"/>
      <c r="K18" s="12" t="s">
        <v>31</v>
      </c>
      <c r="L18" s="13" t="str">
        <f t="shared" si="0"/>
        <v/>
      </c>
    </row>
    <row r="19" spans="1:12" ht="48" customHeight="1" x14ac:dyDescent="0.2">
      <c r="A19" s="14" t="s">
        <v>55</v>
      </c>
      <c r="B19" s="14" t="s">
        <v>44</v>
      </c>
      <c r="C19" s="14" t="s">
        <v>56</v>
      </c>
      <c r="D19" s="9"/>
      <c r="E19" s="14"/>
      <c r="F19" s="9"/>
      <c r="G19" s="9"/>
      <c r="H19" s="10" t="s">
        <v>30</v>
      </c>
      <c r="I19" s="9"/>
      <c r="J19" s="11"/>
      <c r="K19" s="12" t="s">
        <v>31</v>
      </c>
      <c r="L19" s="13" t="str">
        <f t="shared" si="0"/>
        <v/>
      </c>
    </row>
    <row r="20" spans="1:12" ht="48" customHeight="1" x14ac:dyDescent="0.2">
      <c r="A20" s="8" t="s">
        <v>57</v>
      </c>
      <c r="B20" s="8" t="s">
        <v>44</v>
      </c>
      <c r="C20" s="8" t="s">
        <v>58</v>
      </c>
      <c r="D20" s="9"/>
      <c r="E20" s="8" t="s">
        <v>59</v>
      </c>
      <c r="F20" s="9"/>
      <c r="G20" s="9"/>
      <c r="H20" s="10" t="s">
        <v>30</v>
      </c>
      <c r="I20" s="9"/>
      <c r="J20" s="11"/>
      <c r="K20" s="12" t="s">
        <v>31</v>
      </c>
      <c r="L20" s="13" t="str">
        <f t="shared" si="0"/>
        <v/>
      </c>
    </row>
    <row r="21" spans="1:12" ht="48" customHeight="1" x14ac:dyDescent="0.2">
      <c r="A21" s="14" t="s">
        <v>60</v>
      </c>
      <c r="B21" s="14" t="s">
        <v>44</v>
      </c>
      <c r="C21" s="14" t="s">
        <v>61</v>
      </c>
      <c r="D21" s="9"/>
      <c r="E21" s="14" t="s">
        <v>59</v>
      </c>
      <c r="F21" s="9"/>
      <c r="G21" s="9"/>
      <c r="H21" s="10" t="s">
        <v>30</v>
      </c>
      <c r="I21" s="9"/>
      <c r="J21" s="11"/>
      <c r="K21" s="12" t="s">
        <v>31</v>
      </c>
      <c r="L21" s="13" t="str">
        <f t="shared" si="0"/>
        <v/>
      </c>
    </row>
    <row r="22" spans="1:12" ht="48" customHeight="1" x14ac:dyDescent="0.2">
      <c r="A22" s="8" t="s">
        <v>62</v>
      </c>
      <c r="B22" s="8" t="s">
        <v>44</v>
      </c>
      <c r="C22" s="8" t="s">
        <v>63</v>
      </c>
      <c r="D22" s="9"/>
      <c r="E22" s="8" t="s">
        <v>64</v>
      </c>
      <c r="F22" s="9"/>
      <c r="G22" s="9"/>
      <c r="H22" s="10" t="s">
        <v>30</v>
      </c>
      <c r="I22" s="9"/>
      <c r="J22" s="11"/>
      <c r="K22" s="12" t="s">
        <v>31</v>
      </c>
      <c r="L22" s="13" t="str">
        <f t="shared" si="0"/>
        <v/>
      </c>
    </row>
    <row r="23" spans="1:12" ht="48" customHeight="1" x14ac:dyDescent="0.2">
      <c r="A23" s="14" t="s">
        <v>65</v>
      </c>
      <c r="B23" s="14" t="s">
        <v>66</v>
      </c>
      <c r="C23" s="14" t="s">
        <v>67</v>
      </c>
      <c r="D23" s="9"/>
      <c r="E23" s="14" t="s">
        <v>68</v>
      </c>
      <c r="F23" s="9"/>
      <c r="G23" s="9"/>
      <c r="H23" s="10" t="s">
        <v>30</v>
      </c>
      <c r="I23" s="9"/>
      <c r="J23" s="11"/>
      <c r="K23" s="12" t="s">
        <v>31</v>
      </c>
      <c r="L23" s="13" t="str">
        <f t="shared" si="0"/>
        <v/>
      </c>
    </row>
    <row r="24" spans="1:12" ht="48" customHeight="1" x14ac:dyDescent="0.2">
      <c r="A24" s="8" t="s">
        <v>69</v>
      </c>
      <c r="B24" s="8" t="s">
        <v>66</v>
      </c>
      <c r="C24" s="8" t="s">
        <v>70</v>
      </c>
      <c r="D24" s="9"/>
      <c r="E24" s="8"/>
      <c r="F24" s="9"/>
      <c r="G24" s="9"/>
      <c r="H24" s="10" t="s">
        <v>30</v>
      </c>
      <c r="I24" s="9"/>
      <c r="J24" s="11"/>
      <c r="K24" s="12" t="s">
        <v>31</v>
      </c>
      <c r="L24" s="13" t="str">
        <f t="shared" si="0"/>
        <v/>
      </c>
    </row>
    <row r="25" spans="1:12" ht="48" customHeight="1" x14ac:dyDescent="0.2">
      <c r="A25" s="14" t="s">
        <v>71</v>
      </c>
      <c r="B25" s="14" t="s">
        <v>66</v>
      </c>
      <c r="C25" s="14" t="s">
        <v>72</v>
      </c>
      <c r="D25" s="9"/>
      <c r="E25" s="14"/>
      <c r="F25" s="9"/>
      <c r="G25" s="9"/>
      <c r="H25" s="10" t="s">
        <v>30</v>
      </c>
      <c r="I25" s="9"/>
      <c r="J25" s="11"/>
      <c r="K25" s="12" t="s">
        <v>31</v>
      </c>
      <c r="L25" s="13" t="str">
        <f t="shared" si="0"/>
        <v/>
      </c>
    </row>
    <row r="26" spans="1:12" ht="48" customHeight="1" x14ac:dyDescent="0.2">
      <c r="A26" s="8" t="s">
        <v>73</v>
      </c>
      <c r="B26" s="8" t="s">
        <v>74</v>
      </c>
      <c r="C26" s="8" t="s">
        <v>75</v>
      </c>
      <c r="D26" s="9"/>
      <c r="E26" s="8" t="s">
        <v>76</v>
      </c>
      <c r="F26" s="9"/>
      <c r="G26" s="9"/>
      <c r="H26" s="10" t="s">
        <v>30</v>
      </c>
      <c r="I26" s="9"/>
      <c r="J26" s="11"/>
      <c r="K26" s="12" t="s">
        <v>31</v>
      </c>
      <c r="L26" s="13" t="str">
        <f t="shared" si="0"/>
        <v/>
      </c>
    </row>
    <row r="27" spans="1:12" ht="48" customHeight="1" x14ac:dyDescent="0.2">
      <c r="A27" s="14" t="s">
        <v>77</v>
      </c>
      <c r="B27" s="14" t="s">
        <v>74</v>
      </c>
      <c r="C27" s="14" t="s">
        <v>78</v>
      </c>
      <c r="D27" s="9"/>
      <c r="E27" s="14"/>
      <c r="F27" s="9"/>
      <c r="G27" s="9"/>
      <c r="H27" s="10" t="s">
        <v>30</v>
      </c>
      <c r="I27" s="9"/>
      <c r="J27" s="11"/>
      <c r="K27" s="12" t="s">
        <v>31</v>
      </c>
      <c r="L27" s="13" t="str">
        <f t="shared" si="0"/>
        <v/>
      </c>
    </row>
    <row r="28" spans="1:12" ht="48" customHeight="1" x14ac:dyDescent="0.2">
      <c r="A28" s="8" t="s">
        <v>79</v>
      </c>
      <c r="B28" s="8" t="s">
        <v>80</v>
      </c>
      <c r="C28" s="8" t="s">
        <v>81</v>
      </c>
      <c r="D28" s="9"/>
      <c r="E28" s="8"/>
      <c r="F28" s="9"/>
      <c r="G28" s="9"/>
      <c r="H28" s="10" t="s">
        <v>30</v>
      </c>
      <c r="I28" s="9"/>
      <c r="J28" s="11"/>
      <c r="K28" s="12" t="s">
        <v>31</v>
      </c>
      <c r="L28" s="13" t="str">
        <f t="shared" si="0"/>
        <v/>
      </c>
    </row>
    <row r="29" spans="1:12" ht="48" customHeight="1" x14ac:dyDescent="0.2">
      <c r="A29" s="14" t="s">
        <v>82</v>
      </c>
      <c r="B29" s="14" t="s">
        <v>83</v>
      </c>
      <c r="C29" s="14" t="s">
        <v>84</v>
      </c>
      <c r="D29" s="9"/>
      <c r="E29" s="14"/>
      <c r="F29" s="9"/>
      <c r="G29" s="9"/>
      <c r="H29" s="10" t="s">
        <v>30</v>
      </c>
      <c r="I29" s="9"/>
      <c r="J29" s="11"/>
      <c r="K29" s="12" t="s">
        <v>31</v>
      </c>
      <c r="L29" s="13" t="str">
        <f t="shared" si="0"/>
        <v/>
      </c>
    </row>
    <row r="30" spans="1:12" ht="48" customHeight="1" x14ac:dyDescent="0.2">
      <c r="A30" s="8" t="s">
        <v>85</v>
      </c>
      <c r="B30" s="8" t="s">
        <v>86</v>
      </c>
      <c r="C30" s="8" t="s">
        <v>87</v>
      </c>
      <c r="D30" s="9"/>
      <c r="E30" s="8"/>
      <c r="F30" s="9"/>
      <c r="G30" s="9"/>
      <c r="H30" s="10" t="s">
        <v>30</v>
      </c>
      <c r="I30" s="9"/>
      <c r="J30" s="11"/>
      <c r="K30" s="12" t="s">
        <v>31</v>
      </c>
      <c r="L30" s="13" t="str">
        <f t="shared" si="0"/>
        <v/>
      </c>
    </row>
    <row r="31" spans="1:12" ht="48" customHeight="1" x14ac:dyDescent="0.2">
      <c r="A31" s="14" t="s">
        <v>88</v>
      </c>
      <c r="B31" s="14" t="s">
        <v>86</v>
      </c>
      <c r="C31" s="14" t="s">
        <v>89</v>
      </c>
      <c r="D31" s="9"/>
      <c r="E31" s="14"/>
      <c r="F31" s="9"/>
      <c r="G31" s="9"/>
      <c r="H31" s="10" t="s">
        <v>30</v>
      </c>
      <c r="I31" s="9"/>
      <c r="J31" s="11"/>
      <c r="K31" s="12" t="s">
        <v>31</v>
      </c>
      <c r="L31" s="13" t="str">
        <f t="shared" si="0"/>
        <v/>
      </c>
    </row>
    <row r="32" spans="1:12" ht="48" customHeight="1" x14ac:dyDescent="0.2">
      <c r="A32" s="8" t="s">
        <v>90</v>
      </c>
      <c r="B32" s="8" t="s">
        <v>86</v>
      </c>
      <c r="C32" s="8" t="s">
        <v>91</v>
      </c>
      <c r="D32" s="9"/>
      <c r="E32" s="8"/>
      <c r="F32" s="9"/>
      <c r="G32" s="9"/>
      <c r="H32" s="10" t="s">
        <v>30</v>
      </c>
      <c r="I32" s="9"/>
      <c r="J32" s="11"/>
      <c r="K32" s="12" t="s">
        <v>31</v>
      </c>
      <c r="L32" s="13" t="str">
        <f t="shared" si="0"/>
        <v/>
      </c>
    </row>
    <row r="33" spans="1:12" ht="48" customHeight="1" x14ac:dyDescent="0.2">
      <c r="A33" s="14" t="s">
        <v>92</v>
      </c>
      <c r="B33" s="14" t="s">
        <v>86</v>
      </c>
      <c r="C33" s="14" t="s">
        <v>93</v>
      </c>
      <c r="D33" s="9"/>
      <c r="E33" s="14"/>
      <c r="F33" s="9"/>
      <c r="G33" s="9"/>
      <c r="H33" s="10" t="s">
        <v>30</v>
      </c>
      <c r="I33" s="9"/>
      <c r="J33" s="11"/>
      <c r="K33" s="12" t="s">
        <v>31</v>
      </c>
      <c r="L33" s="13" t="str">
        <f t="shared" si="0"/>
        <v/>
      </c>
    </row>
    <row r="34" spans="1:12" ht="48" customHeight="1" x14ac:dyDescent="0.2">
      <c r="A34" s="8" t="s">
        <v>94</v>
      </c>
      <c r="B34" s="8" t="s">
        <v>95</v>
      </c>
      <c r="C34" s="8" t="s">
        <v>96</v>
      </c>
      <c r="D34" s="9"/>
      <c r="E34" s="8"/>
      <c r="F34" s="9"/>
      <c r="G34" s="9"/>
      <c r="H34" s="10" t="s">
        <v>30</v>
      </c>
      <c r="I34" s="9"/>
      <c r="J34" s="11"/>
      <c r="K34" s="12" t="s">
        <v>31</v>
      </c>
      <c r="L34" s="13" t="str">
        <f t="shared" si="0"/>
        <v/>
      </c>
    </row>
    <row r="35" spans="1:12" ht="48" customHeight="1" x14ac:dyDescent="0.2">
      <c r="A35" s="14" t="s">
        <v>97</v>
      </c>
      <c r="B35" s="14" t="s">
        <v>98</v>
      </c>
      <c r="C35" s="14" t="s">
        <v>99</v>
      </c>
      <c r="D35" s="9"/>
      <c r="E35" s="14"/>
      <c r="F35" s="9"/>
      <c r="G35" s="9"/>
      <c r="H35" s="10" t="s">
        <v>30</v>
      </c>
      <c r="I35" s="9"/>
      <c r="J35" s="11"/>
      <c r="K35" s="12" t="s">
        <v>31</v>
      </c>
      <c r="L35" s="13" t="str">
        <f t="shared" si="0"/>
        <v/>
      </c>
    </row>
    <row r="36" spans="1:12" ht="48" customHeight="1" x14ac:dyDescent="0.2">
      <c r="A36" s="8" t="s">
        <v>100</v>
      </c>
      <c r="B36" s="8" t="s">
        <v>101</v>
      </c>
      <c r="C36" s="8" t="s">
        <v>102</v>
      </c>
      <c r="D36" s="9"/>
      <c r="E36" s="8"/>
      <c r="F36" s="9"/>
      <c r="G36" s="9"/>
      <c r="H36" s="10" t="s">
        <v>30</v>
      </c>
      <c r="I36" s="9"/>
      <c r="J36" s="11"/>
      <c r="K36" s="12" t="s">
        <v>31</v>
      </c>
      <c r="L36" s="13" t="str">
        <f t="shared" si="0"/>
        <v/>
      </c>
    </row>
    <row r="37" spans="1:12" ht="48" customHeight="1" x14ac:dyDescent="0.2">
      <c r="A37" s="14" t="s">
        <v>103</v>
      </c>
      <c r="B37" s="14" t="s">
        <v>101</v>
      </c>
      <c r="C37" s="14" t="s">
        <v>104</v>
      </c>
      <c r="D37" s="9"/>
      <c r="E37" s="14"/>
      <c r="F37" s="9"/>
      <c r="G37" s="9"/>
      <c r="H37" s="10" t="s">
        <v>30</v>
      </c>
      <c r="I37" s="9"/>
      <c r="J37" s="11"/>
      <c r="K37" s="12" t="s">
        <v>31</v>
      </c>
      <c r="L37" s="13" t="str">
        <f t="shared" si="0"/>
        <v/>
      </c>
    </row>
    <row r="38" spans="1:12" ht="48" customHeight="1" x14ac:dyDescent="0.2">
      <c r="A38" s="8" t="s">
        <v>105</v>
      </c>
      <c r="B38" s="8" t="s">
        <v>106</v>
      </c>
      <c r="C38" s="8" t="s">
        <v>107</v>
      </c>
      <c r="D38" s="9"/>
      <c r="E38" s="8"/>
      <c r="F38" s="9"/>
      <c r="G38" s="9"/>
      <c r="H38" s="10" t="s">
        <v>30</v>
      </c>
      <c r="I38" s="9"/>
      <c r="J38" s="11"/>
      <c r="K38" s="12" t="s">
        <v>31</v>
      </c>
      <c r="L38" s="13" t="str">
        <f t="shared" si="0"/>
        <v/>
      </c>
    </row>
    <row r="39" spans="1:12" ht="48" customHeight="1" x14ac:dyDescent="0.2">
      <c r="A39" s="14" t="s">
        <v>108</v>
      </c>
      <c r="B39" s="14" t="s">
        <v>109</v>
      </c>
      <c r="C39" s="14" t="s">
        <v>110</v>
      </c>
      <c r="D39" s="9"/>
      <c r="E39" s="14"/>
      <c r="F39" s="9"/>
      <c r="G39" s="9"/>
      <c r="H39" s="10" t="s">
        <v>30</v>
      </c>
      <c r="I39" s="9"/>
      <c r="J39" s="11"/>
      <c r="K39" s="12" t="s">
        <v>31</v>
      </c>
      <c r="L39" s="13" t="str">
        <f t="shared" si="0"/>
        <v/>
      </c>
    </row>
    <row r="40" spans="1:12" ht="48" customHeight="1" x14ac:dyDescent="0.2">
      <c r="A40" s="8" t="s">
        <v>111</v>
      </c>
      <c r="B40" s="8" t="s">
        <v>109</v>
      </c>
      <c r="C40" s="8" t="s">
        <v>112</v>
      </c>
      <c r="D40" s="9"/>
      <c r="E40" s="8"/>
      <c r="F40" s="9"/>
      <c r="G40" s="9"/>
      <c r="H40" s="10" t="s">
        <v>30</v>
      </c>
      <c r="I40" s="9"/>
      <c r="J40" s="11"/>
      <c r="K40" s="12" t="s">
        <v>31</v>
      </c>
      <c r="L40" s="13" t="str">
        <f t="shared" si="0"/>
        <v/>
      </c>
    </row>
    <row r="41" spans="1:12" ht="48" customHeight="1" x14ac:dyDescent="0.2">
      <c r="A41" s="14" t="s">
        <v>113</v>
      </c>
      <c r="B41" s="14" t="s">
        <v>109</v>
      </c>
      <c r="C41" s="14" t="s">
        <v>114</v>
      </c>
      <c r="D41" s="9"/>
      <c r="E41" s="14"/>
      <c r="F41" s="9"/>
      <c r="G41" s="9"/>
      <c r="H41" s="10" t="s">
        <v>30</v>
      </c>
      <c r="I41" s="9"/>
      <c r="J41" s="11"/>
      <c r="K41" s="12" t="s">
        <v>31</v>
      </c>
      <c r="L41" s="13" t="str">
        <f t="shared" si="0"/>
        <v/>
      </c>
    </row>
    <row r="42" spans="1:12" ht="48" customHeight="1" x14ac:dyDescent="0.2">
      <c r="A42" s="8" t="s">
        <v>115</v>
      </c>
      <c r="B42" s="8" t="s">
        <v>109</v>
      </c>
      <c r="C42" s="8" t="s">
        <v>116</v>
      </c>
      <c r="D42" s="9"/>
      <c r="E42" s="8"/>
      <c r="F42" s="9"/>
      <c r="G42" s="9"/>
      <c r="H42" s="10" t="s">
        <v>30</v>
      </c>
      <c r="I42" s="9"/>
      <c r="J42" s="11"/>
      <c r="K42" s="12" t="s">
        <v>31</v>
      </c>
      <c r="L42" s="13" t="str">
        <f t="shared" si="0"/>
        <v/>
      </c>
    </row>
    <row r="43" spans="1:12" ht="48" customHeight="1" x14ac:dyDescent="0.2">
      <c r="A43" s="14" t="s">
        <v>117</v>
      </c>
      <c r="B43" s="14" t="s">
        <v>118</v>
      </c>
      <c r="C43" s="14" t="s">
        <v>119</v>
      </c>
      <c r="D43" s="9"/>
      <c r="E43" s="14"/>
      <c r="F43" s="9"/>
      <c r="G43" s="9"/>
      <c r="H43" s="10" t="s">
        <v>30</v>
      </c>
      <c r="I43" s="9"/>
      <c r="J43" s="11"/>
      <c r="K43" s="12" t="s">
        <v>31</v>
      </c>
      <c r="L43" s="13" t="str">
        <f t="shared" si="0"/>
        <v/>
      </c>
    </row>
    <row r="44" spans="1:12" ht="48" customHeight="1" x14ac:dyDescent="0.2">
      <c r="A44" s="8" t="s">
        <v>120</v>
      </c>
      <c r="B44" s="8" t="s">
        <v>121</v>
      </c>
      <c r="C44" s="8" t="s">
        <v>122</v>
      </c>
      <c r="D44" s="9"/>
      <c r="E44" s="8"/>
      <c r="F44" s="9"/>
      <c r="G44" s="9"/>
      <c r="H44" s="10" t="s">
        <v>30</v>
      </c>
      <c r="I44" s="9"/>
      <c r="J44" s="11"/>
      <c r="K44" s="12" t="s">
        <v>31</v>
      </c>
      <c r="L44" s="13" t="str">
        <f t="shared" si="0"/>
        <v/>
      </c>
    </row>
    <row r="45" spans="1:12" ht="48" customHeight="1" x14ac:dyDescent="0.2">
      <c r="A45" s="14" t="s">
        <v>123</v>
      </c>
      <c r="B45" s="14" t="s">
        <v>121</v>
      </c>
      <c r="C45" s="14" t="s">
        <v>124</v>
      </c>
      <c r="D45" s="9"/>
      <c r="E45" s="14"/>
      <c r="F45" s="9"/>
      <c r="G45" s="9"/>
      <c r="H45" s="10" t="s">
        <v>30</v>
      </c>
      <c r="I45" s="9"/>
      <c r="J45" s="11"/>
      <c r="K45" s="12" t="s">
        <v>31</v>
      </c>
      <c r="L45" s="13" t="str">
        <f t="shared" si="0"/>
        <v/>
      </c>
    </row>
    <row r="46" spans="1:12" ht="48" customHeight="1" x14ac:dyDescent="0.2">
      <c r="A46" s="8" t="s">
        <v>125</v>
      </c>
      <c r="B46" s="8" t="s">
        <v>126</v>
      </c>
      <c r="C46" s="8" t="s">
        <v>127</v>
      </c>
      <c r="D46" s="9"/>
      <c r="E46" s="8" t="s">
        <v>128</v>
      </c>
      <c r="F46" s="9"/>
      <c r="G46" s="9"/>
      <c r="H46" s="10" t="s">
        <v>30</v>
      </c>
      <c r="I46" s="9"/>
      <c r="J46" s="11"/>
      <c r="K46" s="12" t="s">
        <v>31</v>
      </c>
      <c r="L46" s="13" t="str">
        <f t="shared" si="0"/>
        <v/>
      </c>
    </row>
    <row r="47" spans="1:12" ht="48" customHeight="1" x14ac:dyDescent="0.2">
      <c r="A47" s="14" t="s">
        <v>129</v>
      </c>
      <c r="B47" s="14" t="s">
        <v>130</v>
      </c>
      <c r="C47" s="14" t="s">
        <v>131</v>
      </c>
      <c r="D47" s="9"/>
      <c r="E47" s="14"/>
      <c r="F47" s="9"/>
      <c r="G47" s="9"/>
      <c r="H47" s="10" t="s">
        <v>30</v>
      </c>
      <c r="I47" s="9"/>
      <c r="J47" s="11"/>
      <c r="K47" s="12" t="s">
        <v>31</v>
      </c>
      <c r="L47" s="13" t="str">
        <f t="shared" si="0"/>
        <v/>
      </c>
    </row>
    <row r="48" spans="1:12" ht="48" customHeight="1" x14ac:dyDescent="0.2">
      <c r="A48" s="8" t="s">
        <v>132</v>
      </c>
      <c r="B48" s="8" t="s">
        <v>133</v>
      </c>
      <c r="C48" s="8" t="s">
        <v>134</v>
      </c>
      <c r="D48" s="9"/>
      <c r="E48" s="8"/>
      <c r="F48" s="9"/>
      <c r="G48" s="9"/>
      <c r="H48" s="10" t="s">
        <v>30</v>
      </c>
      <c r="I48" s="9"/>
      <c r="J48" s="11"/>
      <c r="K48" s="12" t="s">
        <v>31</v>
      </c>
      <c r="L48" s="13" t="str">
        <f t="shared" si="0"/>
        <v/>
      </c>
    </row>
    <row r="49" spans="1:12" ht="48" customHeight="1" x14ac:dyDescent="0.2">
      <c r="A49" s="14" t="s">
        <v>135</v>
      </c>
      <c r="B49" s="14" t="s">
        <v>136</v>
      </c>
      <c r="C49" s="14" t="s">
        <v>137</v>
      </c>
      <c r="D49" s="9"/>
      <c r="E49" s="14"/>
      <c r="F49" s="9"/>
      <c r="G49" s="9"/>
      <c r="H49" s="10" t="s">
        <v>30</v>
      </c>
      <c r="I49" s="9"/>
      <c r="J49" s="11"/>
      <c r="K49" s="12" t="s">
        <v>31</v>
      </c>
      <c r="L49" s="13" t="str">
        <f t="shared" si="0"/>
        <v/>
      </c>
    </row>
  </sheetData>
  <mergeCells count="1">
    <mergeCell ref="A1:L1"/>
  </mergeCells>
  <conditionalFormatting sqref="D10:D49">
    <cfRule type="expression" dxfId="4" priority="1">
      <formula>D10="Yes"</formula>
    </cfRule>
    <cfRule type="expression" dxfId="3" priority="2">
      <formula>D10="No"</formula>
    </cfRule>
    <cfRule type="expression" dxfId="2" priority="3">
      <formula>D10="NA"</formula>
    </cfRule>
  </conditionalFormatting>
  <conditionalFormatting sqref="K10:K49">
    <cfRule type="expression" dxfId="1" priority="4">
      <formula>K10="Closed"</formula>
    </cfRule>
    <cfRule type="expression" dxfId="0" priority="5">
      <formula>K10="Open"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Lists!$A$1:$A$3</xm:f>
          </x14:formula1>
          <xm:sqref>D10:D49</xm:sqref>
        </x14:dataValidation>
        <x14:dataValidation type="list" allowBlank="1" xr:uid="{00000000-0002-0000-0000-000001000000}">
          <x14:formula1>
            <xm:f>Lists!$B$1:$B$4</xm:f>
          </x14:formula1>
          <xm:sqref>K10:K49</xm:sqref>
        </x14:dataValidation>
        <x14:dataValidation type="list" allowBlank="1" xr:uid="{00000000-0002-0000-0000-000002000000}">
          <x14:formula1>
            <xm:f>Lists!$C$1:$C$4</xm:f>
          </x14:formula1>
          <xm:sqref>K4</xm:sqref>
        </x14:dataValidation>
        <x14:dataValidation type="list" allowBlank="1" xr:uid="{00000000-0002-0000-0000-000003000000}">
          <x14:formula1>
            <xm:f>Lists!$D$1:$D$4</xm:f>
          </x14:formula1>
          <xm:sqref>K3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9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5" width="12" customWidth="1"/>
    <col min="6" max="8" width="16" customWidth="1"/>
  </cols>
  <sheetData>
    <row r="1" spans="1:9" ht="28" customHeight="1" x14ac:dyDescent="0.25">
      <c r="A1" s="30" t="s">
        <v>138</v>
      </c>
      <c r="B1" s="29"/>
      <c r="C1" s="29"/>
      <c r="D1" s="29"/>
      <c r="E1" s="29"/>
      <c r="F1" s="29"/>
      <c r="G1" s="29"/>
      <c r="H1" s="29"/>
    </row>
    <row r="3" spans="1:9" x14ac:dyDescent="0.2">
      <c r="A3" s="15" t="s">
        <v>1</v>
      </c>
      <c r="B3" s="16">
        <f>'App Checklist'!B3</f>
        <v>0</v>
      </c>
      <c r="D3" s="15" t="s">
        <v>3</v>
      </c>
      <c r="E3" s="17">
        <f>'App Checklist'!H3</f>
        <v>46136.445485214797</v>
      </c>
    </row>
    <row r="4" spans="1:9" x14ac:dyDescent="0.2">
      <c r="A4" s="15" t="s">
        <v>6</v>
      </c>
      <c r="B4" s="16">
        <f>'App Checklist'!B4</f>
        <v>0</v>
      </c>
      <c r="D4" s="15" t="s">
        <v>4</v>
      </c>
      <c r="E4" s="16" t="str">
        <f>'App Checklist'!K3</f>
        <v>Full Visit</v>
      </c>
    </row>
    <row r="6" spans="1:9" ht="19" x14ac:dyDescent="0.25">
      <c r="A6" s="4" t="s">
        <v>11</v>
      </c>
      <c r="B6" s="18">
        <f>'App Checklist'!B6</f>
        <v>39</v>
      </c>
      <c r="C6" s="4" t="s">
        <v>12</v>
      </c>
      <c r="D6" s="18">
        <f>'App Checklist'!E6</f>
        <v>0</v>
      </c>
      <c r="E6" s="4" t="s">
        <v>13</v>
      </c>
      <c r="F6" s="18">
        <f>'App Checklist'!H6</f>
        <v>40</v>
      </c>
      <c r="G6" s="4" t="s">
        <v>14</v>
      </c>
      <c r="H6" s="19">
        <f>'App Checklist'!K6</f>
        <v>0</v>
      </c>
    </row>
    <row r="9" spans="1:9" x14ac:dyDescent="0.2">
      <c r="A9" s="4" t="s">
        <v>16</v>
      </c>
      <c r="B9" s="4" t="s">
        <v>139</v>
      </c>
      <c r="C9" s="4" t="s">
        <v>140</v>
      </c>
      <c r="D9" s="4" t="s">
        <v>141</v>
      </c>
      <c r="E9" s="4" t="s">
        <v>142</v>
      </c>
      <c r="F9" s="4" t="s">
        <v>14</v>
      </c>
      <c r="H9" s="20" t="s">
        <v>143</v>
      </c>
      <c r="I9" s="20" t="s">
        <v>144</v>
      </c>
    </row>
    <row r="10" spans="1:9" x14ac:dyDescent="0.2">
      <c r="A10" s="21"/>
      <c r="B10" s="22">
        <f>COUNTIF('App Checklist'!$B$10:$B$49,A10)</f>
        <v>0</v>
      </c>
      <c r="C10" s="22">
        <f>COUNTIFS('App Checklist'!$B$10:$B$49,A10,'App Checklist'!$D$10:$D$49,"Yes")</f>
        <v>0</v>
      </c>
      <c r="D10" s="22">
        <f>COUNTIFS('App Checklist'!$B$10:$B$49,A10,'App Checklist'!$D$10:$D$49,"No")</f>
        <v>0</v>
      </c>
      <c r="E10" s="22">
        <f>COUNTIFS('App Checklist'!$B$10:$B$49,A10,'App Checklist'!$D$10:$D$49,"NA")</f>
        <v>0</v>
      </c>
      <c r="F10" s="23">
        <f t="shared" ref="F10:F29" si="0">IFERROR(C10/(C10+D10),0)</f>
        <v>0</v>
      </c>
      <c r="H10" t="s">
        <v>140</v>
      </c>
      <c r="I10">
        <f>COUNTIF('App Checklist'!$D$10:$D$49,"Yes")</f>
        <v>0</v>
      </c>
    </row>
    <row r="11" spans="1:9" x14ac:dyDescent="0.2">
      <c r="A11" s="24" t="s">
        <v>33</v>
      </c>
      <c r="B11" s="25">
        <f>COUNTIF('App Checklist'!$B$10:$B$49,A11)</f>
        <v>2</v>
      </c>
      <c r="C11" s="25">
        <f>COUNTIFS('App Checklist'!$B$10:$B$49,A11,'App Checklist'!$D$10:$D$49,"Yes")</f>
        <v>0</v>
      </c>
      <c r="D11" s="25">
        <f>COUNTIFS('App Checklist'!$B$10:$B$49,A11,'App Checklist'!$D$10:$D$49,"No")</f>
        <v>0</v>
      </c>
      <c r="E11" s="25">
        <f>COUNTIFS('App Checklist'!$B$10:$B$49,A11,'App Checklist'!$D$10:$D$49,"NA")</f>
        <v>0</v>
      </c>
      <c r="F11" s="26">
        <f t="shared" si="0"/>
        <v>0</v>
      </c>
      <c r="H11" t="s">
        <v>141</v>
      </c>
      <c r="I11">
        <f>COUNTIF('App Checklist'!$D$10:$D$49,"No")</f>
        <v>0</v>
      </c>
    </row>
    <row r="12" spans="1:9" x14ac:dyDescent="0.2">
      <c r="A12" s="21" t="s">
        <v>38</v>
      </c>
      <c r="B12" s="22">
        <f>COUNTIF('App Checklist'!$B$10:$B$49,A12)</f>
        <v>2</v>
      </c>
      <c r="C12" s="22">
        <f>COUNTIFS('App Checklist'!$B$10:$B$49,A12,'App Checklist'!$D$10:$D$49,"Yes")</f>
        <v>0</v>
      </c>
      <c r="D12" s="22">
        <f>COUNTIFS('App Checklist'!$B$10:$B$49,A12,'App Checklist'!$D$10:$D$49,"No")</f>
        <v>0</v>
      </c>
      <c r="E12" s="22">
        <f>COUNTIFS('App Checklist'!$B$10:$B$49,A12,'App Checklist'!$D$10:$D$49,"NA")</f>
        <v>0</v>
      </c>
      <c r="F12" s="23">
        <f t="shared" si="0"/>
        <v>0</v>
      </c>
      <c r="H12" t="s">
        <v>142</v>
      </c>
      <c r="I12">
        <f>COUNTIF('App Checklist'!$D$10:$D$49,"NA")</f>
        <v>0</v>
      </c>
    </row>
    <row r="13" spans="1:9" x14ac:dyDescent="0.2">
      <c r="A13" s="24" t="s">
        <v>44</v>
      </c>
      <c r="B13" s="25">
        <f>COUNTIF('App Checklist'!$B$10:$B$49,A13)</f>
        <v>8</v>
      </c>
      <c r="C13" s="25">
        <f>COUNTIFS('App Checklist'!$B$10:$B$49,A13,'App Checklist'!$D$10:$D$49,"Yes")</f>
        <v>0</v>
      </c>
      <c r="D13" s="25">
        <f>COUNTIFS('App Checklist'!$B$10:$B$49,A13,'App Checklist'!$D$10:$D$49,"No")</f>
        <v>0</v>
      </c>
      <c r="E13" s="25">
        <f>COUNTIFS('App Checklist'!$B$10:$B$49,A13,'App Checklist'!$D$10:$D$49,"NA")</f>
        <v>0</v>
      </c>
      <c r="F13" s="26">
        <f t="shared" si="0"/>
        <v>0</v>
      </c>
    </row>
    <row r="14" spans="1:9" x14ac:dyDescent="0.2">
      <c r="A14" s="21" t="s">
        <v>66</v>
      </c>
      <c r="B14" s="22">
        <f>COUNTIF('App Checklist'!$B$10:$B$49,A14)</f>
        <v>3</v>
      </c>
      <c r="C14" s="22">
        <f>COUNTIFS('App Checklist'!$B$10:$B$49,A14,'App Checklist'!$D$10:$D$49,"Yes")</f>
        <v>0</v>
      </c>
      <c r="D14" s="22">
        <f>COUNTIFS('App Checklist'!$B$10:$B$49,A14,'App Checklist'!$D$10:$D$49,"No")</f>
        <v>0</v>
      </c>
      <c r="E14" s="22">
        <f>COUNTIFS('App Checklist'!$B$10:$B$49,A14,'App Checklist'!$D$10:$D$49,"NA")</f>
        <v>0</v>
      </c>
      <c r="F14" s="23">
        <f t="shared" si="0"/>
        <v>0</v>
      </c>
    </row>
    <row r="15" spans="1:9" x14ac:dyDescent="0.2">
      <c r="A15" s="24" t="s">
        <v>74</v>
      </c>
      <c r="B15" s="25">
        <f>COUNTIF('App Checklist'!$B$10:$B$49,A15)</f>
        <v>2</v>
      </c>
      <c r="C15" s="25">
        <f>COUNTIFS('App Checklist'!$B$10:$B$49,A15,'App Checklist'!$D$10:$D$49,"Yes")</f>
        <v>0</v>
      </c>
      <c r="D15" s="25">
        <f>COUNTIFS('App Checklist'!$B$10:$B$49,A15,'App Checklist'!$D$10:$D$49,"No")</f>
        <v>0</v>
      </c>
      <c r="E15" s="25">
        <f>COUNTIFS('App Checklist'!$B$10:$B$49,A15,'App Checklist'!$D$10:$D$49,"NA")</f>
        <v>0</v>
      </c>
      <c r="F15" s="26">
        <f t="shared" si="0"/>
        <v>0</v>
      </c>
    </row>
    <row r="16" spans="1:9" x14ac:dyDescent="0.2">
      <c r="A16" s="21" t="s">
        <v>80</v>
      </c>
      <c r="B16" s="22">
        <f>COUNTIF('App Checklist'!$B$10:$B$49,A16)</f>
        <v>1</v>
      </c>
      <c r="C16" s="22">
        <f>COUNTIFS('App Checklist'!$B$10:$B$49,A16,'App Checklist'!$D$10:$D$49,"Yes")</f>
        <v>0</v>
      </c>
      <c r="D16" s="22">
        <f>COUNTIFS('App Checklist'!$B$10:$B$49,A16,'App Checklist'!$D$10:$D$49,"No")</f>
        <v>0</v>
      </c>
      <c r="E16" s="22">
        <f>COUNTIFS('App Checklist'!$B$10:$B$49,A16,'App Checklist'!$D$10:$D$49,"NA")</f>
        <v>0</v>
      </c>
      <c r="F16" s="23">
        <f t="shared" si="0"/>
        <v>0</v>
      </c>
    </row>
    <row r="17" spans="1:6" x14ac:dyDescent="0.2">
      <c r="A17" s="24" t="s">
        <v>83</v>
      </c>
      <c r="B17" s="25">
        <f>COUNTIF('App Checklist'!$B$10:$B$49,A17)</f>
        <v>1</v>
      </c>
      <c r="C17" s="25">
        <f>COUNTIFS('App Checklist'!$B$10:$B$49,A17,'App Checklist'!$D$10:$D$49,"Yes")</f>
        <v>0</v>
      </c>
      <c r="D17" s="25">
        <f>COUNTIFS('App Checklist'!$B$10:$B$49,A17,'App Checklist'!$D$10:$D$49,"No")</f>
        <v>0</v>
      </c>
      <c r="E17" s="25">
        <f>COUNTIFS('App Checklist'!$B$10:$B$49,A17,'App Checklist'!$D$10:$D$49,"NA")</f>
        <v>0</v>
      </c>
      <c r="F17" s="26">
        <f t="shared" si="0"/>
        <v>0</v>
      </c>
    </row>
    <row r="18" spans="1:6" x14ac:dyDescent="0.2">
      <c r="A18" s="21" t="s">
        <v>86</v>
      </c>
      <c r="B18" s="22">
        <f>COUNTIF('App Checklist'!$B$10:$B$49,A18)</f>
        <v>4</v>
      </c>
      <c r="C18" s="22">
        <f>COUNTIFS('App Checklist'!$B$10:$B$49,A18,'App Checklist'!$D$10:$D$49,"Yes")</f>
        <v>0</v>
      </c>
      <c r="D18" s="22">
        <f>COUNTIFS('App Checklist'!$B$10:$B$49,A18,'App Checklist'!$D$10:$D$49,"No")</f>
        <v>0</v>
      </c>
      <c r="E18" s="22">
        <f>COUNTIFS('App Checklist'!$B$10:$B$49,A18,'App Checklist'!$D$10:$D$49,"NA")</f>
        <v>0</v>
      </c>
      <c r="F18" s="23">
        <f t="shared" si="0"/>
        <v>0</v>
      </c>
    </row>
    <row r="19" spans="1:6" x14ac:dyDescent="0.2">
      <c r="A19" s="24" t="s">
        <v>95</v>
      </c>
      <c r="B19" s="25">
        <f>COUNTIF('App Checklist'!$B$10:$B$49,A19)</f>
        <v>1</v>
      </c>
      <c r="C19" s="25">
        <f>COUNTIFS('App Checklist'!$B$10:$B$49,A19,'App Checklist'!$D$10:$D$49,"Yes")</f>
        <v>0</v>
      </c>
      <c r="D19" s="25">
        <f>COUNTIFS('App Checklist'!$B$10:$B$49,A19,'App Checklist'!$D$10:$D$49,"No")</f>
        <v>0</v>
      </c>
      <c r="E19" s="25">
        <f>COUNTIFS('App Checklist'!$B$10:$B$49,A19,'App Checklist'!$D$10:$D$49,"NA")</f>
        <v>0</v>
      </c>
      <c r="F19" s="26">
        <f t="shared" si="0"/>
        <v>0</v>
      </c>
    </row>
    <row r="20" spans="1:6" x14ac:dyDescent="0.2">
      <c r="A20" s="21" t="s">
        <v>98</v>
      </c>
      <c r="B20" s="22">
        <f>COUNTIF('App Checklist'!$B$10:$B$49,A20)</f>
        <v>1</v>
      </c>
      <c r="C20" s="22">
        <f>COUNTIFS('App Checklist'!$B$10:$B$49,A20,'App Checklist'!$D$10:$D$49,"Yes")</f>
        <v>0</v>
      </c>
      <c r="D20" s="22">
        <f>COUNTIFS('App Checklist'!$B$10:$B$49,A20,'App Checklist'!$D$10:$D$49,"No")</f>
        <v>0</v>
      </c>
      <c r="E20" s="22">
        <f>COUNTIFS('App Checklist'!$B$10:$B$49,A20,'App Checklist'!$D$10:$D$49,"NA")</f>
        <v>0</v>
      </c>
      <c r="F20" s="23">
        <f t="shared" si="0"/>
        <v>0</v>
      </c>
    </row>
    <row r="21" spans="1:6" x14ac:dyDescent="0.2">
      <c r="A21" s="24" t="s">
        <v>101</v>
      </c>
      <c r="B21" s="25">
        <f>COUNTIF('App Checklist'!$B$10:$B$49,A21)</f>
        <v>2</v>
      </c>
      <c r="C21" s="25">
        <f>COUNTIFS('App Checklist'!$B$10:$B$49,A21,'App Checklist'!$D$10:$D$49,"Yes")</f>
        <v>0</v>
      </c>
      <c r="D21" s="25">
        <f>COUNTIFS('App Checklist'!$B$10:$B$49,A21,'App Checklist'!$D$10:$D$49,"No")</f>
        <v>0</v>
      </c>
      <c r="E21" s="25">
        <f>COUNTIFS('App Checklist'!$B$10:$B$49,A21,'App Checklist'!$D$10:$D$49,"NA")</f>
        <v>0</v>
      </c>
      <c r="F21" s="26">
        <f t="shared" si="0"/>
        <v>0</v>
      </c>
    </row>
    <row r="22" spans="1:6" x14ac:dyDescent="0.2">
      <c r="A22" s="21" t="s">
        <v>106</v>
      </c>
      <c r="B22" s="22">
        <f>COUNTIF('App Checklist'!$B$10:$B$49,A22)</f>
        <v>1</v>
      </c>
      <c r="C22" s="22">
        <f>COUNTIFS('App Checklist'!$B$10:$B$49,A22,'App Checklist'!$D$10:$D$49,"Yes")</f>
        <v>0</v>
      </c>
      <c r="D22" s="22">
        <f>COUNTIFS('App Checklist'!$B$10:$B$49,A22,'App Checklist'!$D$10:$D$49,"No")</f>
        <v>0</v>
      </c>
      <c r="E22" s="22">
        <f>COUNTIFS('App Checklist'!$B$10:$B$49,A22,'App Checklist'!$D$10:$D$49,"NA")</f>
        <v>0</v>
      </c>
      <c r="F22" s="23">
        <f t="shared" si="0"/>
        <v>0</v>
      </c>
    </row>
    <row r="23" spans="1:6" x14ac:dyDescent="0.2">
      <c r="A23" s="24" t="s">
        <v>109</v>
      </c>
      <c r="B23" s="25">
        <f>COUNTIF('App Checklist'!$B$10:$B$49,A23)</f>
        <v>4</v>
      </c>
      <c r="C23" s="25">
        <f>COUNTIFS('App Checklist'!$B$10:$B$49,A23,'App Checklist'!$D$10:$D$49,"Yes")</f>
        <v>0</v>
      </c>
      <c r="D23" s="25">
        <f>COUNTIFS('App Checklist'!$B$10:$B$49,A23,'App Checklist'!$D$10:$D$49,"No")</f>
        <v>0</v>
      </c>
      <c r="E23" s="25">
        <f>COUNTIFS('App Checklist'!$B$10:$B$49,A23,'App Checklist'!$D$10:$D$49,"NA")</f>
        <v>0</v>
      </c>
      <c r="F23" s="26">
        <f t="shared" si="0"/>
        <v>0</v>
      </c>
    </row>
    <row r="24" spans="1:6" x14ac:dyDescent="0.2">
      <c r="A24" s="21" t="s">
        <v>118</v>
      </c>
      <c r="B24" s="22">
        <f>COUNTIF('App Checklist'!$B$10:$B$49,A24)</f>
        <v>1</v>
      </c>
      <c r="C24" s="22">
        <f>COUNTIFS('App Checklist'!$B$10:$B$49,A24,'App Checklist'!$D$10:$D$49,"Yes")</f>
        <v>0</v>
      </c>
      <c r="D24" s="22">
        <f>COUNTIFS('App Checklist'!$B$10:$B$49,A24,'App Checklist'!$D$10:$D$49,"No")</f>
        <v>0</v>
      </c>
      <c r="E24" s="22">
        <f>COUNTIFS('App Checklist'!$B$10:$B$49,A24,'App Checklist'!$D$10:$D$49,"NA")</f>
        <v>0</v>
      </c>
      <c r="F24" s="23">
        <f t="shared" si="0"/>
        <v>0</v>
      </c>
    </row>
    <row r="25" spans="1:6" x14ac:dyDescent="0.2">
      <c r="A25" s="24" t="s">
        <v>121</v>
      </c>
      <c r="B25" s="25">
        <f>COUNTIF('App Checklist'!$B$10:$B$49,A25)</f>
        <v>2</v>
      </c>
      <c r="C25" s="25">
        <f>COUNTIFS('App Checklist'!$B$10:$B$49,A25,'App Checklist'!$D$10:$D$49,"Yes")</f>
        <v>0</v>
      </c>
      <c r="D25" s="25">
        <f>COUNTIFS('App Checklist'!$B$10:$B$49,A25,'App Checklist'!$D$10:$D$49,"No")</f>
        <v>0</v>
      </c>
      <c r="E25" s="25">
        <f>COUNTIFS('App Checklist'!$B$10:$B$49,A25,'App Checklist'!$D$10:$D$49,"NA")</f>
        <v>0</v>
      </c>
      <c r="F25" s="26">
        <f t="shared" si="0"/>
        <v>0</v>
      </c>
    </row>
    <row r="26" spans="1:6" x14ac:dyDescent="0.2">
      <c r="A26" s="21" t="s">
        <v>126</v>
      </c>
      <c r="B26" s="22">
        <f>COUNTIF('App Checklist'!$B$10:$B$49,A26)</f>
        <v>1</v>
      </c>
      <c r="C26" s="22">
        <f>COUNTIFS('App Checklist'!$B$10:$B$49,A26,'App Checklist'!$D$10:$D$49,"Yes")</f>
        <v>0</v>
      </c>
      <c r="D26" s="22">
        <f>COUNTIFS('App Checklist'!$B$10:$B$49,A26,'App Checklist'!$D$10:$D$49,"No")</f>
        <v>0</v>
      </c>
      <c r="E26" s="22">
        <f>COUNTIFS('App Checklist'!$B$10:$B$49,A26,'App Checklist'!$D$10:$D$49,"NA")</f>
        <v>0</v>
      </c>
      <c r="F26" s="23">
        <f t="shared" si="0"/>
        <v>0</v>
      </c>
    </row>
    <row r="27" spans="1:6" x14ac:dyDescent="0.2">
      <c r="A27" s="24" t="s">
        <v>130</v>
      </c>
      <c r="B27" s="25">
        <f>COUNTIF('App Checklist'!$B$10:$B$49,A27)</f>
        <v>1</v>
      </c>
      <c r="C27" s="25">
        <f>COUNTIFS('App Checklist'!$B$10:$B$49,A27,'App Checklist'!$D$10:$D$49,"Yes")</f>
        <v>0</v>
      </c>
      <c r="D27" s="25">
        <f>COUNTIFS('App Checklist'!$B$10:$B$49,A27,'App Checklist'!$D$10:$D$49,"No")</f>
        <v>0</v>
      </c>
      <c r="E27" s="25">
        <f>COUNTIFS('App Checklist'!$B$10:$B$49,A27,'App Checklist'!$D$10:$D$49,"NA")</f>
        <v>0</v>
      </c>
      <c r="F27" s="26">
        <f t="shared" si="0"/>
        <v>0</v>
      </c>
    </row>
    <row r="28" spans="1:6" x14ac:dyDescent="0.2">
      <c r="A28" s="21" t="s">
        <v>133</v>
      </c>
      <c r="B28" s="22">
        <f>COUNTIF('App Checklist'!$B$10:$B$49,A28)</f>
        <v>1</v>
      </c>
      <c r="C28" s="22">
        <f>COUNTIFS('App Checklist'!$B$10:$B$49,A28,'App Checklist'!$D$10:$D$49,"Yes")</f>
        <v>0</v>
      </c>
      <c r="D28" s="22">
        <f>COUNTIFS('App Checklist'!$B$10:$B$49,A28,'App Checklist'!$D$10:$D$49,"No")</f>
        <v>0</v>
      </c>
      <c r="E28" s="22">
        <f>COUNTIFS('App Checklist'!$B$10:$B$49,A28,'App Checklist'!$D$10:$D$49,"NA")</f>
        <v>0</v>
      </c>
      <c r="F28" s="23">
        <f t="shared" si="0"/>
        <v>0</v>
      </c>
    </row>
    <row r="29" spans="1:6" x14ac:dyDescent="0.2">
      <c r="A29" s="24" t="s">
        <v>136</v>
      </c>
      <c r="B29" s="25">
        <f>COUNTIF('App Checklist'!$B$10:$B$49,A29)</f>
        <v>1</v>
      </c>
      <c r="C29" s="25">
        <f>COUNTIFS('App Checklist'!$B$10:$B$49,A29,'App Checklist'!$D$10:$D$49,"Yes")</f>
        <v>0</v>
      </c>
      <c r="D29" s="25">
        <f>COUNTIFS('App Checklist'!$B$10:$B$49,A29,'App Checklist'!$D$10:$D$49,"No")</f>
        <v>0</v>
      </c>
      <c r="E29" s="25">
        <f>COUNTIFS('App Checklist'!$B$10:$B$49,A29,'App Checklist'!$D$10:$D$49,"NA")</f>
        <v>0</v>
      </c>
      <c r="F29" s="26">
        <f t="shared" si="0"/>
        <v>0</v>
      </c>
    </row>
  </sheetData>
  <mergeCells count="1">
    <mergeCell ref="A1:H1"/>
  </mergeCells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140</v>
      </c>
      <c r="B1" t="s">
        <v>31</v>
      </c>
      <c r="C1" t="s">
        <v>10</v>
      </c>
      <c r="D1" t="s">
        <v>5</v>
      </c>
    </row>
    <row r="2" spans="1:4" x14ac:dyDescent="0.2">
      <c r="A2" t="s">
        <v>141</v>
      </c>
      <c r="B2" t="s">
        <v>145</v>
      </c>
      <c r="C2" t="s">
        <v>146</v>
      </c>
      <c r="D2" t="s">
        <v>147</v>
      </c>
    </row>
    <row r="3" spans="1:4" x14ac:dyDescent="0.2">
      <c r="A3" t="s">
        <v>142</v>
      </c>
      <c r="B3" t="s">
        <v>148</v>
      </c>
      <c r="C3" t="s">
        <v>149</v>
      </c>
      <c r="D3" t="s">
        <v>150</v>
      </c>
    </row>
    <row r="4" spans="1:4" x14ac:dyDescent="0.2">
      <c r="B4" t="s">
        <v>151</v>
      </c>
      <c r="C4" t="s">
        <v>152</v>
      </c>
      <c r="D4" t="s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8"/>
  <sheetViews>
    <sheetView showGridLines="0" tabSelected="1" workbookViewId="0">
      <selection sqref="A1:F1"/>
    </sheetView>
  </sheetViews>
  <sheetFormatPr baseColWidth="10" defaultColWidth="8.83203125" defaultRowHeight="15" x14ac:dyDescent="0.2"/>
  <cols>
    <col min="1" max="1" width="20" customWidth="1"/>
    <col min="2" max="2" width="90" customWidth="1"/>
  </cols>
  <sheetData>
    <row r="1" spans="1:6" ht="21" x14ac:dyDescent="0.25">
      <c r="A1" s="30" t="s">
        <v>154</v>
      </c>
      <c r="B1" s="29"/>
      <c r="C1" s="29"/>
      <c r="D1" s="29"/>
      <c r="E1" s="29"/>
      <c r="F1" s="29"/>
    </row>
    <row r="3" spans="1:6" ht="35" customHeight="1" x14ac:dyDescent="0.2">
      <c r="A3" s="20" t="s">
        <v>155</v>
      </c>
      <c r="B3" s="27" t="s">
        <v>156</v>
      </c>
    </row>
    <row r="4" spans="1:6" ht="35" customHeight="1" x14ac:dyDescent="0.2">
      <c r="A4" s="20" t="s">
        <v>157</v>
      </c>
      <c r="B4" s="27" t="s">
        <v>158</v>
      </c>
    </row>
    <row r="5" spans="1:6" ht="35" customHeight="1" x14ac:dyDescent="0.2">
      <c r="A5" s="20" t="s">
        <v>159</v>
      </c>
      <c r="B5" s="27" t="s">
        <v>160</v>
      </c>
    </row>
    <row r="6" spans="1:6" ht="35" customHeight="1" x14ac:dyDescent="0.2">
      <c r="A6" s="20" t="s">
        <v>161</v>
      </c>
      <c r="B6" s="27" t="s">
        <v>162</v>
      </c>
    </row>
    <row r="7" spans="1:6" ht="35" customHeight="1" x14ac:dyDescent="0.2">
      <c r="A7" s="20" t="s">
        <v>163</v>
      </c>
      <c r="B7" s="27" t="s">
        <v>164</v>
      </c>
    </row>
    <row r="8" spans="1:6" ht="35" customHeight="1" x14ac:dyDescent="0.2">
      <c r="A8" s="20" t="s">
        <v>165</v>
      </c>
      <c r="B8" s="27" t="s">
        <v>166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 Checklist</vt:lpstr>
      <vt:lpstr>Dashboard</vt:lpstr>
      <vt:lpstr>Lists</vt:lpstr>
      <vt:lpstr>User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t85315</cp:lastModifiedBy>
  <dcterms:created xsi:type="dcterms:W3CDTF">2026-04-24T10:41:29Z</dcterms:created>
  <dcterms:modified xsi:type="dcterms:W3CDTF">2026-04-24T10:42:30Z</dcterms:modified>
</cp:coreProperties>
</file>