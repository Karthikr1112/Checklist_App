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ily Checklist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<sst xmlns="http://schemas.openxmlformats.org/spreadsheetml/2006/main" uniqueCount="82">
  <si>
    <t>Inventory Team Daily Checklist</t>
  </si>
  <si>
    <t>Question-based daily checklist with revised audit questions included</t>
  </si>
  <si>
    <t>Store / Location</t>
  </si>
  <si>
    <t>Checklist Date</t>
  </si>
  <si>
    <t>Shift</t>
  </si>
  <si>
    <t>Inventory Lead</t>
  </si>
  <si>
    <t>Prepared By</t>
  </si>
  <si>
    <t>Review Status</t>
  </si>
  <si>
    <t>Pending items remain</t>
  </si>
  <si>
    <t>Reviewed By</t>
  </si>
  <si>
    <t>Sign-off Time</t>
  </si>
  <si>
    <t>Total Items</t>
  </si>
  <si>
    <t>Done</t>
  </si>
  <si>
    <t>Pending</t>
  </si>
  <si>
    <t>Issues</t>
  </si>
  <si>
    <t>N/A</t>
  </si>
  <si>
    <t>Completion</t>
  </si>
  <si>
    <t>Use each question as a checkpoint. Select Status for each row. Record observations and corrective actions where needed; set Escalate? = Yes for manager follow-up.</t>
  </si>
  <si>
    <t>Section</t>
  </si>
  <si>
    <t>No.</t>
  </si>
  <si>
    <t>Checklist Question</t>
  </si>
  <si>
    <t>Owner</t>
  </si>
  <si>
    <t>Status</t>
  </si>
  <si>
    <t>Observation / Count</t>
  </si>
  <si>
    <t>Remarks / Corrective Action</t>
  </si>
  <si>
    <t>Checked By</t>
  </si>
  <si>
    <t>Time</t>
  </si>
  <si>
    <t>Escalate?</t>
  </si>
  <si>
    <t>Target / Frequency</t>
  </si>
  <si>
    <t>Evidence / Reference</t>
  </si>
  <si>
    <t>Team Compliance</t>
  </si>
  <si>
    <t>Are all inventory team members wearing the required uniform and ID?</t>
  </si>
  <si>
    <t>Inventory Team</t>
  </si>
  <si>
    <t>No</t>
  </si>
  <si>
    <t>Daily</t>
  </si>
  <si>
    <t>Are all inventory team members complying with grooming standards?</t>
  </si>
  <si>
    <t>Is security frisking and personal bag checking completed for staff while going out?</t>
  </si>
  <si>
    <t>Are Fresh &amp; Loose department staff wearing mandatory masks and gloves?</t>
  </si>
  <si>
    <t>Receiving, GRN &amp; Stock Movement</t>
  </si>
  <si>
    <t>Is the Security Inward Register verified against GRNs daily?</t>
  </si>
  <si>
    <t>Is the Security Outward Register verified against RTV/IST records daily?</t>
  </si>
  <si>
    <t>Have inward dates been recorded on cartons to support FEFO/FIFO movement of goods?</t>
  </si>
  <si>
    <t>Has the goods inwarding and handling process been correctly followed?</t>
  </si>
  <si>
    <t>Has the Store Logistics Manager checked the MRP at the inward point?</t>
  </si>
  <si>
    <t>Have discrepancy notes been prepared and shared with the vendor/warehouse team?</t>
  </si>
  <si>
    <t>Have receiving discrepancies been addressed within 48 hours?</t>
  </si>
  <si>
    <t>Within 48 hours</t>
  </si>
  <si>
    <t>Has the pending GRN review been completed and cleared before EOD?</t>
  </si>
  <si>
    <t>Before EOD</t>
  </si>
  <si>
    <t>Has in-transit stock clearing been completed?</t>
  </si>
  <si>
    <t>Are damaged or expired stocks kept in the designated area?</t>
  </si>
  <si>
    <t>Has the DAD booking been approved by email by the Operations Head before system posting?</t>
  </si>
  <si>
    <t>Before posting</t>
  </si>
  <si>
    <t>Has disposal of RTV or damaged stock happened as per process?</t>
  </si>
  <si>
    <t>Fresh, Expiry, RTV &amp; Damages</t>
  </si>
  <si>
    <t>Has the F&amp;V dump been processed as per process?</t>
  </si>
  <si>
    <t>Has expiry and near-expiry stock been cleared from the floor and moved to the designated area?</t>
  </si>
  <si>
    <t>Has RTV of expiry stock been completed as per process?</t>
  </si>
  <si>
    <t>Customer Returns &amp; Credit Notes</t>
  </si>
  <si>
    <t>Has all returned merchandise at CSD been handed over to the TL?</t>
  </si>
  <si>
    <t>Is each credit note supported by a security gate pass?</t>
  </si>
  <si>
    <t>Are expired credit notes older than 14 days honored only with CM approval?</t>
  </si>
  <si>
    <t>Is the return details register updated?</t>
  </si>
  <si>
    <t>Are reasons for customer returns captured correctly?</t>
  </si>
  <si>
    <t>Have all manual credit notes issued been closed?</t>
  </si>
  <si>
    <t>Stock Counts &amp; Variance Control</t>
  </si>
  <si>
    <t>Have negative stock issues been addressed with support from the store team?</t>
  </si>
  <si>
    <t>Has the high-value physical count been completed?</t>
  </si>
  <si>
    <t>Has the Global daily count been completed for selected items as per process?</t>
  </si>
  <si>
    <t>Audits &amp; Store Controls</t>
  </si>
  <si>
    <t>Have POS, cycle count, barcode, tagging, and expiry audits been completed?</t>
  </si>
  <si>
    <t>Was billing observed at POS for at least 10 bills, and was the cashier following the required process?</t>
  </si>
  <si>
    <t>Daily / Minimum 10 bills</t>
  </si>
  <si>
    <t>Were random floor checks completed for items without barcodes, and were observations recorded?</t>
  </si>
  <si>
    <t>Daily / Random audit</t>
  </si>
  <si>
    <t>Were random floor checks completed for items without security tags, and were observations recorded?</t>
  </si>
  <si>
    <t>Were random floor checks completed for items past the best-before date, and were observations recorded?</t>
  </si>
  <si>
    <t>Has the gate pass audit for NRGP and RGP been completed?</t>
  </si>
  <si>
    <t>If any difference is found between month-end Main Cash/Petty Cash balances and AX/Float Cash balances, has Finance been informed by the SM or Head Cashier?</t>
  </si>
  <si>
    <t>Month-end</t>
  </si>
  <si>
    <t>Is a list of emergency numbers available?</t>
  </si>
  <si>
    <t>Have POS, cycle count, barcode, tagging, and expiry audits been reviewed and closed?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</si>
</sst>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yyyy-mm-dd"/>
  </numFmts>
  <fonts count="4">
    <font>
      <sz val="11"/>
      <color indexed="8"/>
      <name val="Carlito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rlito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3" borderId="1" applyNumberFormat="1" applyFont="1" applyFill="0" applyBorder="1" applyAlignment="1" applyProtection="0">
      <alignment vertical="bottom"/>
    </xf>
    <xf numFmtId="0" fontId="3" borderId="1" applyNumberFormat="1" applyFont="1" applyFill="0" applyBorder="1" applyAlignment="1" applyProtection="0">
      <alignment vertical="bottom"/>
    </xf>
    <xf numFmtId="9" fontId="3" borderId="1" applyNumberFormat="1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  <xf numFmtId="0" fontId="0" fillId="2" borderId="1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ChatGP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ChatGP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50"/>
  <sheetViews>
    <sheetView workbookViewId="0" showGridLines="0" defaultGridColor="1"/>
  </sheetViews>
  <sheetFormatPr defaultColWidth="8.83333" defaultRowHeight="15" customHeight="1" outlineLevelRow="0" outlineLevelCol="0"/>
  <cols>
    <col min="1" max="1" width="24" style="1" customWidth="1"/>
    <col min="2" max="2" width="6" style="1" customWidth="1"/>
    <col min="3" max="3" width="62" style="1" customWidth="1"/>
    <col min="4" max="4" width="18" style="1" customWidth="1"/>
    <col min="5" max="5" width="12" style="1" customWidth="1"/>
    <col min="6" max="6" width="22" style="1" customWidth="1"/>
    <col min="7" max="7" width="32" style="1" customWidth="1"/>
    <col min="8" max="8" width="16" style="1" customWidth="1"/>
    <col min="9" max="10" width="12" style="1" customWidth="1"/>
    <col min="11" max="11" width="20" style="1" customWidth="1"/>
    <col min="12" max="12" width="22" style="1" customWidth="1"/>
    <col min="13" max="16384" width="8.85156" style="1" customWidth="1"/>
  </cols>
  <sheetData>
    <row r="1" ht="24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0" customHeight="1">
      <c r="A2" t="s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ht="13.5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13.55" customHeight="1">
      <c r="A4" t="s" s="2">
        <v>2</v>
      </c>
      <c r="B4" s="3"/>
      <c r="C4" s="3"/>
      <c r="D4" t="s" s="2">
        <v>3</v>
      </c>
      <c r="E4" s="6" cm="1">
        <f t="array" ref="E4">TODAY()</f>
        <v>46155</v>
      </c>
      <c r="F4" s="3"/>
      <c r="G4" t="s" s="2">
        <v>4</v>
      </c>
      <c r="H4" s="3"/>
      <c r="I4" s="3"/>
      <c r="J4" t="s" s="2">
        <v>5</v>
      </c>
      <c r="K4" s="3"/>
      <c r="L4" s="3"/>
    </row>
    <row r="5" ht="13.55" customHeight="1">
      <c r="A5" t="s" s="2">
        <v>6</v>
      </c>
      <c r="B5" s="3"/>
      <c r="C5" s="3"/>
      <c r="D5" t="s" s="2">
        <v>7</v>
      </c>
      <c r="E5" t="str" s="3" cm="1">
        <f t="array" ref="E5">IF(COUNTIF($E$14:$E$50,"Issue")&gt;0,"Issues need review",IF(COUNTIF($E$14:$E$50,"Pending")&gt;0,"Pending items remain","Ready to sign"))</f>
        <v>Pending items remain</v>
      </c>
      <c r="F5" s="3"/>
      <c r="G5" t="s" s="2">
        <v>9</v>
      </c>
      <c r="H5" s="3"/>
      <c r="I5" s="3"/>
      <c r="J5" t="s" s="2">
        <v>10</v>
      </c>
      <c r="K5" s="3"/>
      <c r="L5" s="3"/>
    </row>
    <row r="6" ht="13.5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ht="13.55" customHeight="1">
      <c r="A7" t="s" s="2">
        <v>11</v>
      </c>
      <c r="B7" s="3"/>
      <c r="C7" t="s" s="2">
        <v>12</v>
      </c>
      <c r="D7" s="3"/>
      <c r="E7" t="s" s="2">
        <v>13</v>
      </c>
      <c r="F7" s="3"/>
      <c r="G7" t="s" s="2">
        <v>14</v>
      </c>
      <c r="H7" s="3"/>
      <c r="I7" t="s" s="2">
        <v>15</v>
      </c>
      <c r="J7" s="3"/>
      <c r="K7" t="s" s="2">
        <v>16</v>
      </c>
      <c r="L7" s="3"/>
    </row>
    <row r="8" ht="13.55" customHeight="1">
      <c r="A8" s="7" cm="1">
        <f t="array" ref="A8">COUNTA($B$14:$B$50)</f>
        <v>37</v>
      </c>
      <c r="B8" s="3"/>
      <c r="C8" s="7" cm="1">
        <f t="array" ref="C8">COUNTIF($E$14:$E$50,"Done")</f>
        <v>0</v>
      </c>
      <c r="D8" s="3"/>
      <c r="E8" s="7" cm="1">
        <f t="array" ref="E8">COUNTIF($E$14:$E$50,"Pending")</f>
        <v>37</v>
      </c>
      <c r="F8" s="3"/>
      <c r="G8" s="7" cm="1">
        <f t="array" ref="G8">COUNTIF($E$14:$E$50,"Issue")</f>
        <v>0</v>
      </c>
      <c r="H8" s="3"/>
      <c r="I8" s="7" cm="1">
        <f t="array" ref="I8">COUNTIF($E$14:$E$50,"N/A")</f>
        <v>0</v>
      </c>
      <c r="J8" s="3"/>
      <c r="K8" s="8" cm="1">
        <f t="array" ref="K8">_xlfn.IFERROR((COUNTIF($E$14:$E$50,"Done")+COUNTIF($E$14:$E$50,"N/A"))/COUNTA($B$14:$B$50),0)</f>
        <v>0</v>
      </c>
      <c r="L8" s="3"/>
    </row>
    <row r="9" ht="13.5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ht="78.55" customHeight="1">
      <c r="A10" t="s" s="9">
        <v>17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ht="13.5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13.5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ht="13.55" customHeight="1">
      <c r="A13" t="s" s="11">
        <v>18</v>
      </c>
      <c r="B13" t="s" s="11">
        <v>19</v>
      </c>
      <c r="C13" t="s" s="11">
        <v>20</v>
      </c>
      <c r="D13" t="s" s="11">
        <v>21</v>
      </c>
      <c r="E13" t="s" s="11">
        <v>22</v>
      </c>
      <c r="F13" t="s" s="11">
        <v>23</v>
      </c>
      <c r="G13" t="s" s="11">
        <v>24</v>
      </c>
      <c r="H13" t="s" s="11">
        <v>25</v>
      </c>
      <c r="I13" t="s" s="11">
        <v>26</v>
      </c>
      <c r="J13" t="s" s="11">
        <v>27</v>
      </c>
      <c r="K13" t="s" s="11">
        <v>28</v>
      </c>
      <c r="L13" t="s" s="11">
        <v>29</v>
      </c>
    </row>
    <row r="14" ht="48" customHeight="1">
      <c r="A14" t="s" s="12">
        <v>30</v>
      </c>
      <c r="B14" s="13">
        <v>1</v>
      </c>
      <c r="C14" t="s" s="12">
        <v>31</v>
      </c>
      <c r="D14" t="s" s="12">
        <v>32</v>
      </c>
      <c r="E14" t="s" s="12">
        <v>13</v>
      </c>
      <c r="F14" s="14"/>
      <c r="G14" s="14"/>
      <c r="H14" s="14"/>
      <c r="I14" s="14"/>
      <c r="J14" t="s" s="12">
        <v>33</v>
      </c>
      <c r="K14" t="s" s="12">
        <v>34</v>
      </c>
      <c r="L14" s="14"/>
    </row>
    <row r="15" ht="48" customHeight="1">
      <c r="A15" t="s" s="12">
        <v>30</v>
      </c>
      <c r="B15" s="13">
        <v>2</v>
      </c>
      <c r="C15" t="s" s="12">
        <v>35</v>
      </c>
      <c r="D15" t="s" s="12">
        <v>32</v>
      </c>
      <c r="E15" t="s" s="12">
        <v>13</v>
      </c>
      <c r="F15" s="14"/>
      <c r="G15" s="14"/>
      <c r="H15" s="14"/>
      <c r="I15" s="14"/>
      <c r="J15" t="s" s="12">
        <v>33</v>
      </c>
      <c r="K15" t="s" s="12">
        <v>34</v>
      </c>
      <c r="L15" s="14"/>
    </row>
    <row r="16" ht="48" customHeight="1">
      <c r="A16" t="s" s="12">
        <v>30</v>
      </c>
      <c r="B16" s="13">
        <v>3</v>
      </c>
      <c r="C16" t="s" s="12">
        <v>36</v>
      </c>
      <c r="D16" t="s" s="12">
        <v>32</v>
      </c>
      <c r="E16" t="s" s="12">
        <v>13</v>
      </c>
      <c r="F16" s="14"/>
      <c r="G16" s="14"/>
      <c r="H16" s="14"/>
      <c r="I16" s="14"/>
      <c r="J16" t="s" s="12">
        <v>33</v>
      </c>
      <c r="K16" t="s" s="12">
        <v>34</v>
      </c>
      <c r="L16" s="14"/>
    </row>
    <row r="17" ht="48" customHeight="1">
      <c r="A17" t="s" s="12">
        <v>30</v>
      </c>
      <c r="B17" s="13">
        <v>4</v>
      </c>
      <c r="C17" t="s" s="12">
        <v>37</v>
      </c>
      <c r="D17" t="s" s="12">
        <v>32</v>
      </c>
      <c r="E17" t="s" s="12">
        <v>13</v>
      </c>
      <c r="F17" s="14"/>
      <c r="G17" s="14"/>
      <c r="H17" s="14"/>
      <c r="I17" s="14"/>
      <c r="J17" t="s" s="12">
        <v>33</v>
      </c>
      <c r="K17" t="s" s="12">
        <v>34</v>
      </c>
      <c r="L17" s="14"/>
    </row>
    <row r="18" ht="48" customHeight="1">
      <c r="A18" t="s" s="12">
        <v>38</v>
      </c>
      <c r="B18" s="13">
        <v>5</v>
      </c>
      <c r="C18" t="s" s="12">
        <v>39</v>
      </c>
      <c r="D18" t="s" s="12">
        <v>32</v>
      </c>
      <c r="E18" t="s" s="12">
        <v>13</v>
      </c>
      <c r="F18" s="14"/>
      <c r="G18" s="14"/>
      <c r="H18" s="14"/>
      <c r="I18" s="14"/>
      <c r="J18" t="s" s="12">
        <v>33</v>
      </c>
      <c r="K18" t="s" s="12">
        <v>34</v>
      </c>
      <c r="L18" s="14"/>
    </row>
    <row r="19" ht="48" customHeight="1">
      <c r="A19" t="s" s="12">
        <v>38</v>
      </c>
      <c r="B19" s="13">
        <v>6</v>
      </c>
      <c r="C19" t="s" s="12">
        <v>40</v>
      </c>
      <c r="D19" t="s" s="12">
        <v>32</v>
      </c>
      <c r="E19" t="s" s="12">
        <v>13</v>
      </c>
      <c r="F19" s="14"/>
      <c r="G19" s="14"/>
      <c r="H19" s="14"/>
      <c r="I19" s="14"/>
      <c r="J19" t="s" s="12">
        <v>33</v>
      </c>
      <c r="K19" t="s" s="12">
        <v>34</v>
      </c>
      <c r="L19" s="14"/>
    </row>
    <row r="20" ht="48" customHeight="1">
      <c r="A20" t="s" s="12">
        <v>38</v>
      </c>
      <c r="B20" s="13">
        <v>7</v>
      </c>
      <c r="C20" t="s" s="12">
        <v>41</v>
      </c>
      <c r="D20" t="s" s="12">
        <v>32</v>
      </c>
      <c r="E20" t="s" s="12">
        <v>13</v>
      </c>
      <c r="F20" s="14"/>
      <c r="G20" s="14"/>
      <c r="H20" s="14"/>
      <c r="I20" s="14"/>
      <c r="J20" t="s" s="12">
        <v>33</v>
      </c>
      <c r="K20" t="s" s="12">
        <v>34</v>
      </c>
      <c r="L20" s="14"/>
    </row>
    <row r="21" ht="48" customHeight="1">
      <c r="A21" t="s" s="12">
        <v>38</v>
      </c>
      <c r="B21" s="13">
        <v>8</v>
      </c>
      <c r="C21" t="s" s="12">
        <v>42</v>
      </c>
      <c r="D21" t="s" s="12">
        <v>32</v>
      </c>
      <c r="E21" t="s" s="12">
        <v>13</v>
      </c>
      <c r="F21" s="14"/>
      <c r="G21" s="14"/>
      <c r="H21" s="14"/>
      <c r="I21" s="14"/>
      <c r="J21" t="s" s="12">
        <v>33</v>
      </c>
      <c r="K21" t="s" s="12">
        <v>34</v>
      </c>
      <c r="L21" s="14"/>
    </row>
    <row r="22" ht="48" customHeight="1">
      <c r="A22" t="s" s="12">
        <v>38</v>
      </c>
      <c r="B22" s="13">
        <v>9</v>
      </c>
      <c r="C22" t="s" s="12">
        <v>43</v>
      </c>
      <c r="D22" t="s" s="12">
        <v>32</v>
      </c>
      <c r="E22" t="s" s="12">
        <v>13</v>
      </c>
      <c r="F22" s="14"/>
      <c r="G22" s="14"/>
      <c r="H22" s="14"/>
      <c r="I22" s="14"/>
      <c r="J22" t="s" s="12">
        <v>33</v>
      </c>
      <c r="K22" t="s" s="12">
        <v>34</v>
      </c>
      <c r="L22" s="14"/>
    </row>
    <row r="23" ht="48" customHeight="1">
      <c r="A23" t="s" s="12">
        <v>38</v>
      </c>
      <c r="B23" s="13">
        <v>10</v>
      </c>
      <c r="C23" t="s" s="12">
        <v>44</v>
      </c>
      <c r="D23" t="s" s="12">
        <v>32</v>
      </c>
      <c r="E23" t="s" s="12">
        <v>13</v>
      </c>
      <c r="F23" s="14"/>
      <c r="G23" s="14"/>
      <c r="H23" s="14"/>
      <c r="I23" s="14"/>
      <c r="J23" t="s" s="12">
        <v>33</v>
      </c>
      <c r="K23" t="s" s="12">
        <v>34</v>
      </c>
      <c r="L23" s="14"/>
    </row>
    <row r="24" ht="48" customHeight="1">
      <c r="A24" t="s" s="12">
        <v>38</v>
      </c>
      <c r="B24" s="13">
        <v>11</v>
      </c>
      <c r="C24" t="s" s="12">
        <v>45</v>
      </c>
      <c r="D24" t="s" s="12">
        <v>32</v>
      </c>
      <c r="E24" t="s" s="12">
        <v>13</v>
      </c>
      <c r="F24" s="14"/>
      <c r="G24" s="14"/>
      <c r="H24" s="14"/>
      <c r="I24" s="14"/>
      <c r="J24" t="s" s="12">
        <v>33</v>
      </c>
      <c r="K24" t="s" s="12">
        <v>46</v>
      </c>
      <c r="L24" s="14"/>
    </row>
    <row r="25" ht="48" customHeight="1">
      <c r="A25" t="s" s="12">
        <v>38</v>
      </c>
      <c r="B25" s="13">
        <v>12</v>
      </c>
      <c r="C25" t="s" s="12">
        <v>47</v>
      </c>
      <c r="D25" t="s" s="12">
        <v>32</v>
      </c>
      <c r="E25" t="s" s="12">
        <v>13</v>
      </c>
      <c r="F25" s="14"/>
      <c r="G25" s="14"/>
      <c r="H25" s="14"/>
      <c r="I25" s="14"/>
      <c r="J25" t="s" s="12">
        <v>33</v>
      </c>
      <c r="K25" t="s" s="12">
        <v>48</v>
      </c>
      <c r="L25" s="14"/>
    </row>
    <row r="26" ht="48" customHeight="1">
      <c r="A26" t="s" s="12">
        <v>38</v>
      </c>
      <c r="B26" s="13">
        <v>13</v>
      </c>
      <c r="C26" t="s" s="12">
        <v>49</v>
      </c>
      <c r="D26" t="s" s="12">
        <v>32</v>
      </c>
      <c r="E26" t="s" s="12">
        <v>13</v>
      </c>
      <c r="F26" s="14"/>
      <c r="G26" s="14"/>
      <c r="H26" s="14"/>
      <c r="I26" s="14"/>
      <c r="J26" t="s" s="12">
        <v>33</v>
      </c>
      <c r="K26" t="s" s="12">
        <v>34</v>
      </c>
      <c r="L26" s="14"/>
    </row>
    <row r="27" ht="48" customHeight="1">
      <c r="A27" t="s" s="12">
        <v>38</v>
      </c>
      <c r="B27" s="13">
        <v>14</v>
      </c>
      <c r="C27" t="s" s="12">
        <v>50</v>
      </c>
      <c r="D27" t="s" s="12">
        <v>32</v>
      </c>
      <c r="E27" t="s" s="12">
        <v>13</v>
      </c>
      <c r="F27" s="14"/>
      <c r="G27" s="14"/>
      <c r="H27" s="14"/>
      <c r="I27" s="14"/>
      <c r="J27" t="s" s="12">
        <v>33</v>
      </c>
      <c r="K27" t="s" s="12">
        <v>34</v>
      </c>
      <c r="L27" s="14"/>
    </row>
    <row r="28" ht="48" customHeight="1">
      <c r="A28" t="s" s="12">
        <v>38</v>
      </c>
      <c r="B28" s="13">
        <v>15</v>
      </c>
      <c r="C28" t="s" s="12">
        <v>51</v>
      </c>
      <c r="D28" t="s" s="12">
        <v>32</v>
      </c>
      <c r="E28" t="s" s="12">
        <v>13</v>
      </c>
      <c r="F28" s="14"/>
      <c r="G28" s="14"/>
      <c r="H28" s="14"/>
      <c r="I28" s="14"/>
      <c r="J28" t="s" s="12">
        <v>33</v>
      </c>
      <c r="K28" t="s" s="12">
        <v>52</v>
      </c>
      <c r="L28" s="14"/>
    </row>
    <row r="29" ht="48" customHeight="1">
      <c r="A29" t="s" s="12">
        <v>38</v>
      </c>
      <c r="B29" s="13">
        <v>16</v>
      </c>
      <c r="C29" t="s" s="12">
        <v>53</v>
      </c>
      <c r="D29" t="s" s="12">
        <v>32</v>
      </c>
      <c r="E29" t="s" s="12">
        <v>13</v>
      </c>
      <c r="F29" s="14"/>
      <c r="G29" s="14"/>
      <c r="H29" s="14"/>
      <c r="I29" s="14"/>
      <c r="J29" t="s" s="12">
        <v>33</v>
      </c>
      <c r="K29" t="s" s="12">
        <v>34</v>
      </c>
      <c r="L29" s="14"/>
    </row>
    <row r="30" ht="48" customHeight="1">
      <c r="A30" t="s" s="12">
        <v>54</v>
      </c>
      <c r="B30" s="13">
        <v>17</v>
      </c>
      <c r="C30" t="s" s="12">
        <v>55</v>
      </c>
      <c r="D30" t="s" s="12">
        <v>32</v>
      </c>
      <c r="E30" t="s" s="12">
        <v>13</v>
      </c>
      <c r="F30" s="14"/>
      <c r="G30" s="14"/>
      <c r="H30" s="14"/>
      <c r="I30" s="14"/>
      <c r="J30" t="s" s="12">
        <v>33</v>
      </c>
      <c r="K30" t="s" s="12">
        <v>34</v>
      </c>
      <c r="L30" s="14"/>
    </row>
    <row r="31" ht="48" customHeight="1">
      <c r="A31" t="s" s="12">
        <v>54</v>
      </c>
      <c r="B31" s="13">
        <v>18</v>
      </c>
      <c r="C31" t="s" s="12">
        <v>56</v>
      </c>
      <c r="D31" t="s" s="12">
        <v>32</v>
      </c>
      <c r="E31" t="s" s="12">
        <v>13</v>
      </c>
      <c r="F31" s="14"/>
      <c r="G31" s="14"/>
      <c r="H31" s="14"/>
      <c r="I31" s="14"/>
      <c r="J31" t="s" s="12">
        <v>33</v>
      </c>
      <c r="K31" t="s" s="12">
        <v>34</v>
      </c>
      <c r="L31" s="14"/>
    </row>
    <row r="32" ht="48" customHeight="1">
      <c r="A32" t="s" s="12">
        <v>54</v>
      </c>
      <c r="B32" s="13">
        <v>19</v>
      </c>
      <c r="C32" t="s" s="12">
        <v>57</v>
      </c>
      <c r="D32" t="s" s="12">
        <v>32</v>
      </c>
      <c r="E32" t="s" s="12">
        <v>13</v>
      </c>
      <c r="F32" s="14"/>
      <c r="G32" s="14"/>
      <c r="H32" s="14"/>
      <c r="I32" s="14"/>
      <c r="J32" t="s" s="12">
        <v>33</v>
      </c>
      <c r="K32" t="s" s="12">
        <v>34</v>
      </c>
      <c r="L32" s="14"/>
    </row>
    <row r="33" ht="48" customHeight="1">
      <c r="A33" t="s" s="12">
        <v>58</v>
      </c>
      <c r="B33" s="13">
        <v>20</v>
      </c>
      <c r="C33" t="s" s="12">
        <v>59</v>
      </c>
      <c r="D33" t="s" s="12">
        <v>32</v>
      </c>
      <c r="E33" t="s" s="12">
        <v>13</v>
      </c>
      <c r="F33" s="14"/>
      <c r="G33" s="14"/>
      <c r="H33" s="14"/>
      <c r="I33" s="14"/>
      <c r="J33" t="s" s="12">
        <v>33</v>
      </c>
      <c r="K33" t="s" s="12">
        <v>34</v>
      </c>
      <c r="L33" s="14"/>
    </row>
    <row r="34" ht="48" customHeight="1">
      <c r="A34" t="s" s="12">
        <v>58</v>
      </c>
      <c r="B34" s="13">
        <v>21</v>
      </c>
      <c r="C34" t="s" s="12">
        <v>60</v>
      </c>
      <c r="D34" t="s" s="12">
        <v>32</v>
      </c>
      <c r="E34" t="s" s="12">
        <v>13</v>
      </c>
      <c r="F34" s="14"/>
      <c r="G34" s="14"/>
      <c r="H34" s="14"/>
      <c r="I34" s="14"/>
      <c r="J34" t="s" s="12">
        <v>33</v>
      </c>
      <c r="K34" t="s" s="12">
        <v>34</v>
      </c>
      <c r="L34" s="14"/>
    </row>
    <row r="35" ht="48" customHeight="1">
      <c r="A35" t="s" s="12">
        <v>58</v>
      </c>
      <c r="B35" s="13">
        <v>22</v>
      </c>
      <c r="C35" t="s" s="12">
        <v>61</v>
      </c>
      <c r="D35" t="s" s="12">
        <v>32</v>
      </c>
      <c r="E35" t="s" s="12">
        <v>13</v>
      </c>
      <c r="F35" s="14"/>
      <c r="G35" s="14"/>
      <c r="H35" s="14"/>
      <c r="I35" s="14"/>
      <c r="J35" t="s" s="12">
        <v>33</v>
      </c>
      <c r="K35" t="s" s="12">
        <v>34</v>
      </c>
      <c r="L35" s="14"/>
    </row>
    <row r="36" ht="48" customHeight="1">
      <c r="A36" t="s" s="12">
        <v>58</v>
      </c>
      <c r="B36" s="13">
        <v>23</v>
      </c>
      <c r="C36" t="s" s="12">
        <v>62</v>
      </c>
      <c r="D36" t="s" s="12">
        <v>32</v>
      </c>
      <c r="E36" t="s" s="12">
        <v>13</v>
      </c>
      <c r="F36" s="14"/>
      <c r="G36" s="14"/>
      <c r="H36" s="14"/>
      <c r="I36" s="14"/>
      <c r="J36" t="s" s="12">
        <v>33</v>
      </c>
      <c r="K36" t="s" s="12">
        <v>34</v>
      </c>
      <c r="L36" s="14"/>
    </row>
    <row r="37" ht="48" customHeight="1">
      <c r="A37" t="s" s="12">
        <v>58</v>
      </c>
      <c r="B37" s="13">
        <v>24</v>
      </c>
      <c r="C37" t="s" s="12">
        <v>63</v>
      </c>
      <c r="D37" t="s" s="12">
        <v>32</v>
      </c>
      <c r="E37" t="s" s="12">
        <v>13</v>
      </c>
      <c r="F37" s="14"/>
      <c r="G37" s="14"/>
      <c r="H37" s="14"/>
      <c r="I37" s="14"/>
      <c r="J37" t="s" s="12">
        <v>33</v>
      </c>
      <c r="K37" t="s" s="12">
        <v>34</v>
      </c>
      <c r="L37" s="14"/>
    </row>
    <row r="38" ht="48" customHeight="1">
      <c r="A38" t="s" s="12">
        <v>58</v>
      </c>
      <c r="B38" s="13">
        <v>25</v>
      </c>
      <c r="C38" t="s" s="12">
        <v>64</v>
      </c>
      <c r="D38" t="s" s="12">
        <v>32</v>
      </c>
      <c r="E38" t="s" s="12">
        <v>13</v>
      </c>
      <c r="F38" s="14"/>
      <c r="G38" s="14"/>
      <c r="H38" s="14"/>
      <c r="I38" s="14"/>
      <c r="J38" t="s" s="12">
        <v>33</v>
      </c>
      <c r="K38" t="s" s="12">
        <v>34</v>
      </c>
      <c r="L38" s="14"/>
    </row>
    <row r="39" ht="48" customHeight="1">
      <c r="A39" t="s" s="12">
        <v>65</v>
      </c>
      <c r="B39" s="13">
        <v>26</v>
      </c>
      <c r="C39" t="s" s="12">
        <v>66</v>
      </c>
      <c r="D39" t="s" s="12">
        <v>32</v>
      </c>
      <c r="E39" t="s" s="12">
        <v>13</v>
      </c>
      <c r="F39" s="14"/>
      <c r="G39" s="14"/>
      <c r="H39" s="14"/>
      <c r="I39" s="14"/>
      <c r="J39" t="s" s="12">
        <v>33</v>
      </c>
      <c r="K39" t="s" s="12">
        <v>34</v>
      </c>
      <c r="L39" s="14"/>
    </row>
    <row r="40" ht="48" customHeight="1">
      <c r="A40" t="s" s="12">
        <v>65</v>
      </c>
      <c r="B40" s="13">
        <v>27</v>
      </c>
      <c r="C40" t="s" s="12">
        <v>67</v>
      </c>
      <c r="D40" t="s" s="12">
        <v>32</v>
      </c>
      <c r="E40" t="s" s="12">
        <v>13</v>
      </c>
      <c r="F40" s="14"/>
      <c r="G40" s="14"/>
      <c r="H40" s="14"/>
      <c r="I40" s="14"/>
      <c r="J40" t="s" s="12">
        <v>33</v>
      </c>
      <c r="K40" t="s" s="12">
        <v>34</v>
      </c>
      <c r="L40" s="14"/>
    </row>
    <row r="41" ht="48" customHeight="1">
      <c r="A41" t="s" s="12">
        <v>65</v>
      </c>
      <c r="B41" s="13">
        <v>28</v>
      </c>
      <c r="C41" t="s" s="12">
        <v>68</v>
      </c>
      <c r="D41" t="s" s="12">
        <v>32</v>
      </c>
      <c r="E41" t="s" s="12">
        <v>13</v>
      </c>
      <c r="F41" s="14"/>
      <c r="G41" s="14"/>
      <c r="H41" s="14"/>
      <c r="I41" s="14"/>
      <c r="J41" t="s" s="12">
        <v>33</v>
      </c>
      <c r="K41" t="s" s="12">
        <v>34</v>
      </c>
      <c r="L41" s="14"/>
    </row>
    <row r="42" ht="48" customHeight="1">
      <c r="A42" t="s" s="12">
        <v>69</v>
      </c>
      <c r="B42" s="13">
        <v>29</v>
      </c>
      <c r="C42" t="s" s="12">
        <v>70</v>
      </c>
      <c r="D42" t="s" s="12">
        <v>32</v>
      </c>
      <c r="E42" t="s" s="12">
        <v>13</v>
      </c>
      <c r="F42" s="14"/>
      <c r="G42" s="14"/>
      <c r="H42" s="14"/>
      <c r="I42" s="14"/>
      <c r="J42" t="s" s="12">
        <v>33</v>
      </c>
      <c r="K42" t="s" s="12">
        <v>34</v>
      </c>
      <c r="L42" s="14"/>
    </row>
    <row r="43" ht="48" customHeight="1">
      <c r="A43" t="s" s="12">
        <v>69</v>
      </c>
      <c r="B43" s="13">
        <v>30</v>
      </c>
      <c r="C43" t="s" s="12">
        <v>71</v>
      </c>
      <c r="D43" t="s" s="12">
        <v>32</v>
      </c>
      <c r="E43" t="s" s="12">
        <v>13</v>
      </c>
      <c r="F43" s="14"/>
      <c r="G43" s="14"/>
      <c r="H43" s="14"/>
      <c r="I43" s="14"/>
      <c r="J43" t="s" s="12">
        <v>33</v>
      </c>
      <c r="K43" t="s" s="12">
        <v>72</v>
      </c>
      <c r="L43" s="14"/>
    </row>
    <row r="44" ht="48" customHeight="1">
      <c r="A44" t="s" s="12">
        <v>69</v>
      </c>
      <c r="B44" s="13">
        <v>31</v>
      </c>
      <c r="C44" t="s" s="12">
        <v>73</v>
      </c>
      <c r="D44" t="s" s="12">
        <v>32</v>
      </c>
      <c r="E44" t="s" s="12">
        <v>13</v>
      </c>
      <c r="F44" s="14"/>
      <c r="G44" s="14"/>
      <c r="H44" s="14"/>
      <c r="I44" s="14"/>
      <c r="J44" t="s" s="12">
        <v>33</v>
      </c>
      <c r="K44" t="s" s="12">
        <v>74</v>
      </c>
      <c r="L44" s="14"/>
    </row>
    <row r="45" ht="48" customHeight="1">
      <c r="A45" t="s" s="12">
        <v>69</v>
      </c>
      <c r="B45" s="13">
        <v>32</v>
      </c>
      <c r="C45" t="s" s="12">
        <v>75</v>
      </c>
      <c r="D45" t="s" s="12">
        <v>32</v>
      </c>
      <c r="E45" t="s" s="12">
        <v>13</v>
      </c>
      <c r="F45" s="14"/>
      <c r="G45" s="14"/>
      <c r="H45" s="14"/>
      <c r="I45" s="14"/>
      <c r="J45" t="s" s="12">
        <v>33</v>
      </c>
      <c r="K45" t="s" s="12">
        <v>74</v>
      </c>
      <c r="L45" s="14"/>
    </row>
    <row r="46" ht="48" customHeight="1">
      <c r="A46" t="s" s="12">
        <v>69</v>
      </c>
      <c r="B46" s="13">
        <v>33</v>
      </c>
      <c r="C46" t="s" s="12">
        <v>76</v>
      </c>
      <c r="D46" t="s" s="12">
        <v>32</v>
      </c>
      <c r="E46" t="s" s="12">
        <v>13</v>
      </c>
      <c r="F46" s="14"/>
      <c r="G46" s="14"/>
      <c r="H46" s="14"/>
      <c r="I46" s="14"/>
      <c r="J46" t="s" s="12">
        <v>33</v>
      </c>
      <c r="K46" t="s" s="12">
        <v>74</v>
      </c>
      <c r="L46" s="14"/>
    </row>
    <row r="47" ht="48" customHeight="1">
      <c r="A47" t="s" s="12">
        <v>69</v>
      </c>
      <c r="B47" s="13">
        <v>34</v>
      </c>
      <c r="C47" t="s" s="12">
        <v>77</v>
      </c>
      <c r="D47" t="s" s="12">
        <v>32</v>
      </c>
      <c r="E47" t="s" s="12">
        <v>13</v>
      </c>
      <c r="F47" s="14"/>
      <c r="G47" s="14"/>
      <c r="H47" s="14"/>
      <c r="I47" s="14"/>
      <c r="J47" t="s" s="12">
        <v>33</v>
      </c>
      <c r="K47" t="s" s="12">
        <v>34</v>
      </c>
      <c r="L47" s="14"/>
    </row>
    <row r="48" ht="48" customHeight="1">
      <c r="A48" t="s" s="12">
        <v>69</v>
      </c>
      <c r="B48" s="13">
        <v>35</v>
      </c>
      <c r="C48" t="s" s="12">
        <v>78</v>
      </c>
      <c r="D48" t="s" s="12">
        <v>32</v>
      </c>
      <c r="E48" t="s" s="12">
        <v>13</v>
      </c>
      <c r="F48" s="14"/>
      <c r="G48" s="14"/>
      <c r="H48" s="14"/>
      <c r="I48" s="14"/>
      <c r="J48" t="s" s="12">
        <v>33</v>
      </c>
      <c r="K48" t="s" s="12">
        <v>79</v>
      </c>
      <c r="L48" s="14"/>
    </row>
    <row r="49" ht="48" customHeight="1">
      <c r="A49" t="s" s="12">
        <v>69</v>
      </c>
      <c r="B49" s="13">
        <v>36</v>
      </c>
      <c r="C49" t="s" s="12">
        <v>80</v>
      </c>
      <c r="D49" t="s" s="12">
        <v>32</v>
      </c>
      <c r="E49" t="s" s="12">
        <v>13</v>
      </c>
      <c r="F49" s="14"/>
      <c r="G49" s="14"/>
      <c r="H49" s="14"/>
      <c r="I49" s="14"/>
      <c r="J49" t="s" s="12">
        <v>33</v>
      </c>
      <c r="K49" t="s" s="12">
        <v>34</v>
      </c>
      <c r="L49" s="14"/>
    </row>
    <row r="50" ht="48" customHeight="1">
      <c r="A50" t="s" s="12">
        <v>69</v>
      </c>
      <c r="B50" s="13">
        <v>37</v>
      </c>
      <c r="C50" t="s" s="12">
        <v>81</v>
      </c>
      <c r="D50" t="s" s="12">
        <v>32</v>
      </c>
      <c r="E50" t="s" s="12">
        <v>13</v>
      </c>
      <c r="F50" s="14"/>
      <c r="G50" s="14"/>
      <c r="H50" s="14"/>
      <c r="I50" s="14"/>
      <c r="J50" t="s" s="12">
        <v>33</v>
      </c>
      <c r="K50" t="s" s="12">
        <v>34</v>
      </c>
      <c r="L50" s="14"/>
    </row>
  </sheetData>
  <dataValidations count="2">
    <dataValidation type="list" allowBlank="1" showInputMessage="1" showErrorMessage="1" sqref="E14:E50">
      <formula1>"Pending,Done,Issue,N/A"</formula1>
    </dataValidation>
    <dataValidation type="list" allowBlank="1" showInputMessage="1" showErrorMessage="1" sqref="J14:J50">
      <formula1>"No,Yes"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